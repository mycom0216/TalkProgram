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개발일정표" sheetId="1" r:id="rId1"/>
    <sheet name="간트차트" sheetId="2" r:id="rId2"/>
    <sheet name="요약" sheetId="3" r:id="rId3"/>
    <sheet name="일별 커밋" sheetId="4" r:id="rId4"/>
  </sheets>
  <definedNames>
    <definedName name="_xlnm._FilterDatabase" localSheetId="0" hidden="1">개발일정표!$A$5:$K$46</definedName>
    <definedName name="_xlnm.Print_Titles" localSheetId="0">개발일정표!$5:$5</definedName>
  </definedNames>
  <calcPr calcId="124519" fullCalcOnLoad="1"/>
</workbook>
</file>

<file path=xl/sharedStrings.xml><?xml version="1.0" encoding="utf-8"?>
<sst xmlns="http://schemas.openxmlformats.org/spreadsheetml/2006/main" count="283" uniqueCount="183">
  <si>
    <t>사내톡 개발일정표</t>
  </si>
  <si>
    <t>팀 다같이채팅 (박은정·반재영·장선화) · 작성일 2026-11-02 · 기준: git 커밋 이력(60개)과 docs/TESTING.md</t>
  </si>
  <si>
    <t>파란 글자 = 직접 입력하는 값(담당·날짜·진척률). 검정 글자 = 자동 계산(기간·상태). 노란 칸 = 제안 일정이므로 팀 일정에 맞게 수정하세요. 완료된 작업의 날짜는 커밋 날짜 기준이고, 하루에 여러 기능이 한꺼번에 커밋된 경우 시작일은 앞 단계 종료일 이후로 잡았습니다.</t>
  </si>
  <si>
    <t>No</t>
  </si>
  <si>
    <t>단계</t>
  </si>
  <si>
    <t>작업</t>
  </si>
  <si>
    <t>관련 요구사항</t>
  </si>
  <si>
    <t>담당</t>
  </si>
  <si>
    <t>시작일</t>
  </si>
  <si>
    <t>종료일</t>
  </si>
  <si>
    <t>기간(일)</t>
  </si>
  <si>
    <t>진척률</t>
  </si>
  <si>
    <t>상태</t>
  </si>
  <si>
    <t>근거·산출물</t>
  </si>
  <si>
    <t>1. 기획·설계</t>
  </si>
  <si>
    <t>요구사항 분석 및 프로젝트 구조 설계</t>
  </si>
  <si>
    <t>요구사항 전체</t>
  </si>
  <si>
    <t>반재영</t>
  </si>
  <si>
    <t>요구사항 분석서 v1.0 (2026-10-27)</t>
  </si>
  <si>
    <t>솔루션·Git 저장소·CI 초안 준비</t>
  </si>
  <si>
    <t>OP-05</t>
  </si>
  <si>
    <t>커밋 3개 (.gitattributes, 초기 커밋, dotnet-desktop.yml)</t>
  </si>
  <si>
    <t>패킷 정의·직렬화·통신 프로토콜 설계</t>
  </si>
  <si>
    <t>NF-07, NF-11</t>
  </si>
  <si>
    <t>ChatApp.Common (길이 헤더 + JSON)</t>
  </si>
  <si>
    <t>2. 핵심 통신·서버</t>
  </si>
  <si>
    <t>멀티스레드 서버 (Accept·세션·송신 스레드, 로그)</t>
  </si>
  <si>
    <t>SV-01~04</t>
  </si>
  <si>
    <t>ChatApp.Server. 10/28 대량 커밋에 포함</t>
  </si>
  <si>
    <t>하트비트·세션 관리·예외 격리</t>
  </si>
  <si>
    <t>SV-03, NF-05, NF-08</t>
  </si>
  <si>
    <t>Ping 15초 / 무응답 45초</t>
  </si>
  <si>
    <t>3. 클라이언트·회원·파일</t>
  </si>
  <si>
    <t>WinForms 클라이언트 (로그인·메인 창·대화창)</t>
  </si>
  <si>
    <t>CL-01~02, CH-01~04</t>
  </si>
  <si>
    <t>ChatApp.Client</t>
  </si>
  <si>
    <t>회원가입·로그인 (MariaDB·해시·5회 잠금·이메일 도메인)</t>
  </si>
  <si>
    <t>AU-01~03, SC-02</t>
  </si>
  <si>
    <t>AuthService, db/schema.sql</t>
  </si>
  <si>
    <t>채팅방 (만들기·입장·퇴장)·대화 기록 저장</t>
  </si>
  <si>
    <t>RM-01~03, CH-05</t>
  </si>
  <si>
    <t>RoomService, DbWriter</t>
  </si>
  <si>
    <t>파일 전송 (256KB 조각·진행률·3GB)</t>
  </si>
  <si>
    <t>FT-01~03</t>
  </si>
  <si>
    <t>FileService, FileTransferService</t>
  </si>
  <si>
    <t>4. 보안·관리자</t>
  </si>
  <si>
    <t>TLS 암호화 (자체 서명 인증서·지문 고정)</t>
  </si>
  <si>
    <t>SC-01, NF-12</t>
  </si>
  <si>
    <t>10/28 커밋 '… TLS 암호화 …'</t>
  </si>
  <si>
    <t>관리자 기능·감사 로그</t>
  </si>
  <si>
    <t>AD-01~08</t>
  </si>
  <si>
    <t>AdminService, audit_logs. 시나리오 32개 통과</t>
  </si>
  <si>
    <t>CI 빌드 (GitHub Actions) 수정</t>
  </si>
  <si>
    <t>템플릿 워크플로 삭제 후 .NET 10 빌드로 교체</t>
  </si>
  <si>
    <t>5. 기능 확장</t>
  </si>
  <si>
    <t>방 초대 전체 선택·창 밖 클릭으로 나가기</t>
  </si>
  <si>
    <t>RM-05</t>
  </si>
  <si>
    <t>10/29 커밋 2개</t>
  </si>
  <si>
    <t>파일 업로드 용량 표시</t>
  </si>
  <si>
    <t>FT-04</t>
  </si>
  <si>
    <t>10/29 커밋</t>
  </si>
  <si>
    <t>메시지 기능 (답장·공감·삭제·수정·읽음·검색)</t>
  </si>
  <si>
    <t>CH-06~12</t>
  </si>
  <si>
    <t>답장 커밋 10/29. 방·메시지 시나리오 40개 통과</t>
  </si>
  <si>
    <t>파일 받기 대기열·전송 취소</t>
  </si>
  <si>
    <t>FT-05, FT-06</t>
  </si>
  <si>
    <t>DownloadQueueTests</t>
  </si>
  <si>
    <t>관리자 통계 (카드·그래프·활발한 방·디스크)</t>
  </si>
  <si>
    <t>AD-09</t>
  </si>
  <si>
    <t>통계 시나리오 6개 통과</t>
  </si>
  <si>
    <t>방 정원 변경·기본 정원 1,000명</t>
  </si>
  <si>
    <t>RM-07</t>
  </si>
  <si>
    <t>정원 시나리오 8개 통과</t>
  </si>
  <si>
    <t>삭제·닫힌 방 파일 정리</t>
  </si>
  <si>
    <t>FT-07, OP-03</t>
  </si>
  <si>
    <t>RetentionService, /cleanup</t>
  </si>
  <si>
    <t>서버 로그 시각을 서버 PC 시간(+시간대)으로</t>
  </si>
  <si>
    <t>SV-04</t>
  </si>
  <si>
    <t>ServerLogger</t>
  </si>
  <si>
    <t>친구 추가 (아이디·휴대폰 번호)</t>
  </si>
  <si>
    <t>CL-06</t>
  </si>
  <si>
    <t>친구 시나리오 22개 통과</t>
  </si>
  <si>
    <t>프로필 사진·배경 사진·프로필 카드</t>
  </si>
  <si>
    <t>CL-05</t>
  </si>
  <si>
    <t>사진 시나리오 19개 통과</t>
  </si>
  <si>
    <t>Windows 서비스 안정화·설치 스크립트</t>
  </si>
  <si>
    <t>OP-01</t>
  </si>
  <si>
    <t>ChatApp.Service, docs/SERVICE.md</t>
  </si>
  <si>
    <t>MySqlConnector 2.6.1 보안 업데이트·배포물에서 설정 파일 제외</t>
  </si>
  <si>
    <t>NF-09, SC-04</t>
  </si>
  <si>
    <t>publish.bat</t>
  </si>
  <si>
    <t>6. 테스트·문서화</t>
  </si>
  <si>
    <t>화면 자동 테스트 (FlaUI)</t>
  </si>
  <si>
    <t>NF-20</t>
  </si>
  <si>
    <t>ChatApp.UiTests 3개</t>
  </si>
  <si>
    <t>단위·통합 테스트 추가, CI에서 테스트 실행</t>
  </si>
  <si>
    <t>ChatApp.Tests, 푸시마다 자동 실행</t>
  </si>
  <si>
    <t>테스트 결과서 작성</t>
  </si>
  <si>
    <t>문서</t>
  </si>
  <si>
    <t>docs/TESTING.md</t>
  </si>
  <si>
    <t>아키텍처 문서·서버 운영 가이드 (PDF 포함)</t>
  </si>
  <si>
    <t>docs/ARCHITECTURE.md, SERVICE.md, PDF 4종</t>
  </si>
  <si>
    <t>7. 코드 정리</t>
  </si>
  <si>
    <t>전체 파일 코드별 상세 주석</t>
  </si>
  <si>
    <t>10/30 커밋</t>
  </si>
  <si>
    <t>초보자용 설명 주석 분리·README 정리</t>
  </si>
  <si>
    <t>11/01 커밋 약 20개</t>
  </si>
  <si>
    <t>MIT 라이선스·DB 설치 안내 정리</t>
  </si>
  <si>
    <t>LICENSE, README</t>
  </si>
  <si>
    <t>8. 보안 강화·문서 마무리</t>
  </si>
  <si>
    <t>비밀번호 해시 60만 회 (옛 해시 자동 업그레이드)</t>
  </si>
  <si>
    <t>SC-03</t>
  </si>
  <si>
    <t>PasswordHasher, 테스트 8개 추가</t>
  </si>
  <si>
    <t>서비스 감독 자동 테스트 7개 + CI 연결</t>
  </si>
  <si>
    <t>OP-01, NF-20</t>
  </si>
  <si>
    <t>ChatApp.Service.Tests</t>
  </si>
  <si>
    <t>운영 설정 보안 (파일 권한·환경 변수)</t>
  </si>
  <si>
    <t>SC-04</t>
  </si>
  <si>
    <t>install-server-service.bat, ServerConfig. 서버 PC 확인 필요</t>
  </si>
  <si>
    <t>요구사항 분석서 v2.0·데이터 정의서 v2.0·개발일정표 작성</t>
  </si>
  <si>
    <t>docs/사내톡_*_v2.pdf, 사내톡_개발일정표.xlsx (검토 대기)</t>
  </si>
  <si>
    <t>코드 주석 정확성 검수</t>
  </si>
  <si>
    <t>MainForm.cs 대조 완료, 나머지 파일은 진행 중</t>
  </si>
  <si>
    <t>9. 마무리 (제안 일정)</t>
  </si>
  <si>
    <t>미확인 테스트 실행·결과 기록 (T-03~T-08, T-10, T-16)</t>
  </si>
  <si>
    <t>미정</t>
  </si>
  <si>
    <t>요구사항 분석서 9.2 '확인 필요' 항목 — 제안 일정</t>
  </si>
  <si>
    <t>서버 PC 실환경 확인 (서비스 설치·권한 제한·환경 변수·부팅 자동 시작)</t>
  </si>
  <si>
    <t>OP-01, SC-04</t>
  </si>
  <si>
    <t>docs/SERVICE.md 순서대로 확인 — 제안 일정</t>
  </si>
  <si>
    <t>60만 회 해시 기준 부하 테스트 재측정</t>
  </si>
  <si>
    <t>NF-02, SC-03</t>
  </si>
  <si>
    <t>README 부하 측정표는 10만 회 기준 — 제안 일정</t>
  </si>
  <si>
    <t>발표 자료 준비</t>
  </si>
  <si>
    <t>—</t>
  </si>
  <si>
    <t>TLS 적용 전후 비교, 부하 테스트 결과 등 — 제안 일정</t>
  </si>
  <si>
    <t>최종 점검·제출</t>
  </si>
  <si>
    <t>문서 3종·소스·설치 파일 확인 — 제안 일정</t>
  </si>
  <si>
    <t>※ 담당은 git 커밋 작성자(반재영) 기준입니다. 박은정·장선화 담당 항목은 팀에서 직접 수정하세요.</t>
  </si>
  <si>
    <t>사내톡 간트차트</t>
  </si>
  <si>
    <t>개발일정표 시트의 날짜·진척률을 고치면 자동으로 바뀝니다. 초록 = 완료, 주황 = 진행 중, 회색 = 예정, 빨간 머리 = 오늘</t>
  </si>
  <si>
    <t>시작</t>
  </si>
  <si>
    <t>종료</t>
  </si>
  <si>
    <t>개발 진행 요약</t>
  </si>
  <si>
    <t>모든 숫자는 개발일정표 시트에서 자동으로 계산됩니다.</t>
  </si>
  <si>
    <t>진행 현황</t>
  </si>
  <si>
    <t>전체 작업 수</t>
  </si>
  <si>
    <t>완료</t>
  </si>
  <si>
    <t>진행 중</t>
  </si>
  <si>
    <t>예정</t>
  </si>
  <si>
    <t>완료율 (작업 수 기준)</t>
  </si>
  <si>
    <t>평균 진척률</t>
  </si>
  <si>
    <t>마지막 종료일</t>
  </si>
  <si>
    <t>전체 기간 (일)</t>
  </si>
  <si>
    <t>단계별 현황</t>
  </si>
  <si>
    <t>작업 수</t>
  </si>
  <si>
    <t>마일스톤</t>
  </si>
  <si>
    <t>날짜</t>
  </si>
  <si>
    <t>내용</t>
  </si>
  <si>
    <t>설계 완료·저장소 시작</t>
  </si>
  <si>
    <t>요구사항 분석서 v1.0, 솔루션 구조, 패킷 정의</t>
  </si>
  <si>
    <t>핵심 기능 완성</t>
  </si>
  <si>
    <t>서버·클라이언트·회원·채팅방·파일 전송·TLS·관리자 기능이 한 커밋에 반영</t>
  </si>
  <si>
    <t>기능 확장·테스트 체계 완성</t>
  </si>
  <si>
    <t>메시지 기능, 친구·프로필, 통계, Windows 서비스, 자동 테스트 + 문서</t>
  </si>
  <si>
    <t>문서화·정리 완료</t>
  </si>
  <si>
    <t>코드 주석, README, 라이선스</t>
  </si>
  <si>
    <t>보안 강화·운영 설정</t>
  </si>
  <si>
    <t>PBKDF2 60만 회, 서비스 테스트, 설정 파일 권한·환경 변수</t>
  </si>
  <si>
    <t>최종 점검·제출 (제안)</t>
  </si>
  <si>
    <t>팀 일정에 맞게 수정</t>
  </si>
  <si>
    <t>※ 마일스톤 날짜(파란 글자)는 직접 입력한 값이며 git 커밋 날짜와 팀 일정에서 가져왔습니다.</t>
  </si>
  <si>
    <t>일별 커밋 수 (git 이력)</t>
  </si>
  <si>
    <t>출처: git log (chatting 브랜치, 2026-11-02 기준). 개발이 언제 집중됐는지 보여 주는 근거 자료입니다.</t>
  </si>
  <si>
    <t>커밋 수</t>
  </si>
  <si>
    <t>주요 작업</t>
  </si>
  <si>
    <t>프로젝트 시작: 초기 커밋, 저장소·CI 준비</t>
  </si>
  <si>
    <t>WinForms 클라이언트·파일 전송·TLS·관리자·감사 로그 (대량 커밋), CI 수정</t>
  </si>
  <si>
    <t>기능 확장(방 정원·친구·프로필·통계·서비스), 테스트·문서 추가</t>
  </si>
  <si>
    <t>초보자용 설명 주석 분리, README·LICENSE·DB 안내</t>
  </si>
  <si>
    <t>비밀번호 해시 강화, 서비스 테스트, 운영 설정 (작업 시점 기준)</t>
  </si>
  <si>
    <t>합계</t>
  </si>
  <si>
    <t>(작업 시점 기준. 이 문서를 만든 뒤 커밋이 더 늘어납니다)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</si>
</sst>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%"/>
    <numFmt numFmtId="166" formatCode="m/d"/>
    <numFmt numFmtId="167" formatCode=";;;"/>
  </numFmts>
  <fonts count="11">
    <font>
      <sz val="11"/>
      <color theme="1"/>
      <name val="Calibri"/>
      <family val="2"/>
      <scheme val="minor"/>
    </font>
    <font>
      <b/>
      <sz val="16"/>
      <color rgb="FF1F3A5F"/>
      <name val="맑은 고딕"/>
      <family val="2"/>
    </font>
    <font>
      <sz val="10"/>
      <color rgb="FF5B6573"/>
      <name val="맑은 고딕"/>
      <family val="2"/>
    </font>
    <font>
      <sz val="9"/>
      <color rgb="FF5B6573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sz val="10"/>
      <color rgb="FF0000FF"/>
      <name val="맑은 고딕"/>
      <family val="2"/>
    </font>
    <font>
      <b/>
      <sz val="10"/>
      <color theme="1"/>
      <name val="맑은 고딕"/>
      <family val="2"/>
    </font>
    <font>
      <b/>
      <sz val="9"/>
      <color rgb="FFFFFFFF"/>
      <name val="맑은 고딕"/>
      <family val="2"/>
    </font>
    <font>
      <sz val="9"/>
      <color theme="1"/>
      <name val="맑은 고딕"/>
      <family val="2"/>
    </font>
    <font>
      <b/>
      <sz val="12"/>
      <color rgb="FF2E6DB4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F1FA"/>
        <bgColor indexed="64"/>
      </patternFill>
    </fill>
  </fills>
  <borders count="3">
    <border>
      <left/>
      <right/>
      <top/>
      <bottom/>
      <diagonal/>
    </border>
    <border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  <border>
      <left style="thin">
        <color rgb="FFE1E7EF"/>
      </left>
      <right style="thin">
        <color rgb="FFE1E7EF"/>
      </right>
      <top style="thin">
        <color rgb="FFE1E7EF"/>
      </top>
      <bottom style="thin">
        <color rgb="FFE1E7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6" fontId="8" fillId="2" borderId="1" xfId="0" applyNumberFormat="1" applyFont="1" applyFill="1" applyBorder="1" applyAlignment="1">
      <alignment horizontal="center" vertical="center" textRotation="90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166" fontId="9" fillId="0" borderId="2" xfId="0" applyNumberFormat="1" applyFont="1" applyBorder="1" applyAlignment="1">
      <alignment horizontal="center" vertical="center"/>
    </xf>
    <xf numFmtId="167" fontId="5" fillId="0" borderId="2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7" fillId="4" borderId="1" xfId="0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7">
    <dxf>
      <font>
        <color rgb="FF1B7F4B"/>
      </font>
      <fill>
        <patternFill>
          <bgColor rgb="FFDFF3E6"/>
        </patternFill>
      </fill>
    </dxf>
    <dxf>
      <font>
        <color rgb="FFB26B00"/>
      </font>
      <fill>
        <patternFill>
          <bgColor rgb="FFFFF1D6"/>
        </patternFill>
      </fill>
    </dxf>
    <dxf>
      <font>
        <color rgb="FF5B6573"/>
      </font>
      <fill>
        <patternFill>
          <bgColor rgb="FFECEFF3"/>
        </patternFill>
      </fill>
    </dxf>
    <dxf>
      <fill>
        <patternFill>
          <bgColor rgb="FF4CAF7A"/>
        </patternFill>
      </fill>
    </dxf>
    <dxf>
      <fill>
        <patternFill>
          <bgColor rgb="FFF2A531"/>
        </patternFill>
      </fill>
    </dxf>
    <dxf>
      <fill>
        <patternFill>
          <bgColor rgb="FFB8C0CC"/>
        </patternFill>
      </fill>
    </dxf>
    <dxf>
      <fill>
        <patternFill>
          <bgColor rgb="FFD6454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맑은 고딕"/>
              </a:defRPr>
            </a:pPr>
            <a:r>
              <a:rPr lang="en-US" sz="1100" baseline="0">
                <a:latin typeface="맑은 고딕"/>
              </a:rPr>
              <a:t>단계별 평균 진척률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평균 진척률</c:v>
          </c:tx>
          <c:spPr>
            <a:solidFill>
              <a:srgbClr val="2E6DB4"/>
            </a:solidFill>
          </c:spPr>
          <c:dLbls>
            <c:numFmt formatCode="0%" sourceLinked="0"/>
            <c:showVal val="1"/>
          </c:dLbls>
          <c:cat>
            <c:strRef>
              <c:f>요약!$A$16:$A$24</c:f>
              <c:strCache>
                <c:ptCount val="9"/>
                <c:pt idx="0">
                  <c:v>1. 기획·설계</c:v>
                </c:pt>
                <c:pt idx="1">
                  <c:v>2. 핵심 통신·서버</c:v>
                </c:pt>
                <c:pt idx="2">
                  <c:v>3. 클라이언트·회원·파일</c:v>
                </c:pt>
                <c:pt idx="3">
                  <c:v>4. 보안·관리자</c:v>
                </c:pt>
                <c:pt idx="4">
                  <c:v>5. 기능 확장</c:v>
                </c:pt>
                <c:pt idx="5">
                  <c:v>6. 테스트·문서화</c:v>
                </c:pt>
                <c:pt idx="6">
                  <c:v>7. 코드 정리</c:v>
                </c:pt>
                <c:pt idx="7">
                  <c:v>8. 보안 강화·문서 마무리</c:v>
                </c:pt>
                <c:pt idx="8">
                  <c:v>9. 마무리 (제안 일정)</c:v>
                </c:pt>
              </c:strCache>
            </c:strRef>
          </c:cat>
          <c:val>
            <c:numRef>
              <c:f>요약!$D$16:$D$24</c:f>
              <c:numCache>
                <c:formatCode>General</c:formatCode>
                <c:ptCount val="9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0.8400000000000001</c:v>
                </c:pt>
                <c:pt idx="8">
                  <c:v>0.0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t"/>
        <c:majorGridlines/>
        <c:numFmt formatCode="0%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맑은 고딕"/>
              </a:defRPr>
            </a:pPr>
            <a:r>
              <a:rPr lang="en-US" sz="1100" baseline="0">
                <a:latin typeface="맑은 고딕"/>
              </a:rPr>
              <a:t>일별 커밋 수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커밋 수</c:v>
          </c:tx>
          <c:spPr>
            <a:solidFill>
              <a:srgbClr val="2E6DB4"/>
            </a:solidFill>
          </c:spPr>
          <c:dLbls>
            <c:showVal val="1"/>
          </c:dLbls>
          <c:cat>
            <c:numRef>
              <c:f>'일별 커밋'!$A$5:$A$10</c:f>
              <c:numCache>
                <c:formatCode>General</c:formatCode>
                <c:ptCount val="6"/>
                <c:pt idx="0">
                  <c:v>46322</c:v>
                </c:pt>
                <c:pt idx="1">
                  <c:v>46323</c:v>
                </c:pt>
                <c:pt idx="2">
                  <c:v>46324</c:v>
                </c:pt>
                <c:pt idx="3">
                  <c:v>46325</c:v>
                </c:pt>
                <c:pt idx="4">
                  <c:v>46327</c:v>
                </c:pt>
                <c:pt idx="5">
                  <c:v>46328</c:v>
                </c:pt>
              </c:numCache>
            </c:numRef>
          </c:cat>
          <c:val>
            <c:numRef>
              <c:f>'일별 커밋'!$B$5:$B$10</c:f>
              <c:numCache>
                <c:formatCode>General</c:formatCode>
                <c:ptCount val="6"/>
                <c:pt idx="0">
                  <c:v>3</c:v>
                </c:pt>
                <c:pt idx="1">
                  <c:v>5</c:v>
                </c:pt>
                <c:pt idx="2">
                  <c:v>26</c:v>
                </c:pt>
                <c:pt idx="3">
                  <c:v>4</c:v>
                </c:pt>
                <c:pt idx="4">
                  <c:v>21</c:v>
                </c:pt>
                <c:pt idx="5">
                  <c:v>1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m/d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9</xdr:col>
      <xdr:colOff>142875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2</xdr:col>
      <xdr:colOff>3638550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showGridLines="0"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 x14ac:dyDescent="0.25"/>
  <cols>
    <col min="1" max="1" width="5.7109375" customWidth="1"/>
    <col min="2" max="2" width="21.7109375" customWidth="1"/>
    <col min="3" max="3" width="48.7109375" customWidth="1"/>
    <col min="4" max="4" width="20.7109375" customWidth="1"/>
    <col min="5" max="5" width="9.7109375" customWidth="1"/>
    <col min="6" max="7" width="12.7109375" customWidth="1"/>
    <col min="8" max="9" width="8.7109375" customWidth="1"/>
    <col min="10" max="10" width="9.7109375" customWidth="1"/>
    <col min="11" max="11" width="54.710937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9.75" customHeigh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ht="21.75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spans="1:11" x14ac:dyDescent="0.25">
      <c r="A6" s="5">
        <v>1</v>
      </c>
      <c r="B6" s="6" t="s">
        <v>14</v>
      </c>
      <c r="C6" s="6" t="s">
        <v>15</v>
      </c>
      <c r="D6" s="6" t="s">
        <v>16</v>
      </c>
      <c r="E6" s="7" t="s">
        <v>17</v>
      </c>
      <c r="F6" s="8">
        <v>46322</v>
      </c>
      <c r="G6" s="8">
        <v>46322</v>
      </c>
      <c r="H6" s="9">
        <f>G6-F6+1</f>
        <v>1</v>
      </c>
      <c r="I6" s="10">
        <v>1</v>
      </c>
      <c r="J6" s="11" t="str">
        <f>IF(I6&gt;=1,"완료",IF(I6&gt;0,"진행 중","예정"))</f>
        <v>완료</v>
      </c>
      <c r="K6" s="6" t="s">
        <v>18</v>
      </c>
    </row>
    <row r="7" spans="1:11" x14ac:dyDescent="0.25">
      <c r="A7" s="5">
        <v>2</v>
      </c>
      <c r="B7" s="6" t="s">
        <v>14</v>
      </c>
      <c r="C7" s="6" t="s">
        <v>19</v>
      </c>
      <c r="D7" s="6" t="s">
        <v>20</v>
      </c>
      <c r="E7" s="7" t="s">
        <v>17</v>
      </c>
      <c r="F7" s="8">
        <v>46322</v>
      </c>
      <c r="G7" s="8">
        <v>46322</v>
      </c>
      <c r="H7" s="9">
        <f>G7-F7+1</f>
        <v>1</v>
      </c>
      <c r="I7" s="10">
        <v>1</v>
      </c>
      <c r="J7" s="11" t="str">
        <f>IF(I7&gt;=1,"완료",IF(I7&gt;0,"진행 중","예정"))</f>
        <v>완료</v>
      </c>
      <c r="K7" s="6" t="s">
        <v>21</v>
      </c>
    </row>
    <row r="8" spans="1:11" x14ac:dyDescent="0.25">
      <c r="A8" s="5">
        <v>3</v>
      </c>
      <c r="B8" s="6" t="s">
        <v>14</v>
      </c>
      <c r="C8" s="6" t="s">
        <v>22</v>
      </c>
      <c r="D8" s="6" t="s">
        <v>23</v>
      </c>
      <c r="E8" s="7" t="s">
        <v>17</v>
      </c>
      <c r="F8" s="8">
        <v>46322</v>
      </c>
      <c r="G8" s="8">
        <v>46323</v>
      </c>
      <c r="H8" s="9">
        <f>G8-F8+1</f>
        <v>2</v>
      </c>
      <c r="I8" s="10">
        <v>1</v>
      </c>
      <c r="J8" s="11" t="str">
        <f>IF(I8&gt;=1,"완료",IF(I8&gt;0,"진행 중","예정"))</f>
        <v>완료</v>
      </c>
      <c r="K8" s="6" t="s">
        <v>24</v>
      </c>
    </row>
    <row r="9" spans="1:11" x14ac:dyDescent="0.25">
      <c r="A9" s="5">
        <v>4</v>
      </c>
      <c r="B9" s="6" t="s">
        <v>25</v>
      </c>
      <c r="C9" s="6" t="s">
        <v>26</v>
      </c>
      <c r="D9" s="6" t="s">
        <v>27</v>
      </c>
      <c r="E9" s="7" t="s">
        <v>17</v>
      </c>
      <c r="F9" s="8">
        <v>46322</v>
      </c>
      <c r="G9" s="8">
        <v>46323</v>
      </c>
      <c r="H9" s="9">
        <f>G9-F9+1</f>
        <v>2</v>
      </c>
      <c r="I9" s="10">
        <v>1</v>
      </c>
      <c r="J9" s="11" t="str">
        <f>IF(I9&gt;=1,"완료",IF(I9&gt;0,"진행 중","예정"))</f>
        <v>완료</v>
      </c>
      <c r="K9" s="6" t="s">
        <v>28</v>
      </c>
    </row>
    <row r="10" spans="1:11" x14ac:dyDescent="0.25">
      <c r="A10" s="5">
        <v>5</v>
      </c>
      <c r="B10" s="6" t="s">
        <v>25</v>
      </c>
      <c r="C10" s="6" t="s">
        <v>29</v>
      </c>
      <c r="D10" s="6" t="s">
        <v>30</v>
      </c>
      <c r="E10" s="7" t="s">
        <v>17</v>
      </c>
      <c r="F10" s="8">
        <v>46322</v>
      </c>
      <c r="G10" s="8">
        <v>46323</v>
      </c>
      <c r="H10" s="9">
        <f>G10-F10+1</f>
        <v>2</v>
      </c>
      <c r="I10" s="10">
        <v>1</v>
      </c>
      <c r="J10" s="11" t="str">
        <f>IF(I10&gt;=1,"완료",IF(I10&gt;0,"진행 중","예정"))</f>
        <v>완료</v>
      </c>
      <c r="K10" s="6" t="s">
        <v>31</v>
      </c>
    </row>
    <row r="11" spans="1:11" x14ac:dyDescent="0.25">
      <c r="A11" s="5">
        <v>6</v>
      </c>
      <c r="B11" s="6" t="s">
        <v>32</v>
      </c>
      <c r="C11" s="6" t="s">
        <v>33</v>
      </c>
      <c r="D11" s="6" t="s">
        <v>34</v>
      </c>
      <c r="E11" s="7" t="s">
        <v>17</v>
      </c>
      <c r="F11" s="8">
        <v>46322</v>
      </c>
      <c r="G11" s="8">
        <v>46323</v>
      </c>
      <c r="H11" s="9">
        <f>G11-F11+1</f>
        <v>2</v>
      </c>
      <c r="I11" s="10">
        <v>1</v>
      </c>
      <c r="J11" s="11" t="str">
        <f>IF(I11&gt;=1,"완료",IF(I11&gt;0,"진행 중","예정"))</f>
        <v>완료</v>
      </c>
      <c r="K11" s="6" t="s">
        <v>35</v>
      </c>
    </row>
    <row r="12" spans="1:11" x14ac:dyDescent="0.25">
      <c r="A12" s="5">
        <v>7</v>
      </c>
      <c r="B12" s="6" t="s">
        <v>32</v>
      </c>
      <c r="C12" s="6" t="s">
        <v>36</v>
      </c>
      <c r="D12" s="6" t="s">
        <v>37</v>
      </c>
      <c r="E12" s="7" t="s">
        <v>17</v>
      </c>
      <c r="F12" s="8">
        <v>46322</v>
      </c>
      <c r="G12" s="8">
        <v>46323</v>
      </c>
      <c r="H12" s="9">
        <f>G12-F12+1</f>
        <v>2</v>
      </c>
      <c r="I12" s="10">
        <v>1</v>
      </c>
      <c r="J12" s="11" t="str">
        <f>IF(I12&gt;=1,"완료",IF(I12&gt;0,"진행 중","예정"))</f>
        <v>완료</v>
      </c>
      <c r="K12" s="6" t="s">
        <v>38</v>
      </c>
    </row>
    <row r="13" spans="1:11" x14ac:dyDescent="0.25">
      <c r="A13" s="5">
        <v>8</v>
      </c>
      <c r="B13" s="6" t="s">
        <v>32</v>
      </c>
      <c r="C13" s="6" t="s">
        <v>39</v>
      </c>
      <c r="D13" s="6" t="s">
        <v>40</v>
      </c>
      <c r="E13" s="7" t="s">
        <v>17</v>
      </c>
      <c r="F13" s="8">
        <v>46322</v>
      </c>
      <c r="G13" s="8">
        <v>46323</v>
      </c>
      <c r="H13" s="9">
        <f>G13-F13+1</f>
        <v>2</v>
      </c>
      <c r="I13" s="10">
        <v>1</v>
      </c>
      <c r="J13" s="11" t="str">
        <f>IF(I13&gt;=1,"완료",IF(I13&gt;0,"진행 중","예정"))</f>
        <v>완료</v>
      </c>
      <c r="K13" s="6" t="s">
        <v>41</v>
      </c>
    </row>
    <row r="14" spans="1:11" x14ac:dyDescent="0.25">
      <c r="A14" s="5">
        <v>9</v>
      </c>
      <c r="B14" s="6" t="s">
        <v>32</v>
      </c>
      <c r="C14" s="6" t="s">
        <v>42</v>
      </c>
      <c r="D14" s="6" t="s">
        <v>43</v>
      </c>
      <c r="E14" s="7" t="s">
        <v>17</v>
      </c>
      <c r="F14" s="8">
        <v>46322</v>
      </c>
      <c r="G14" s="8">
        <v>46323</v>
      </c>
      <c r="H14" s="9">
        <f>G14-F14+1</f>
        <v>2</v>
      </c>
      <c r="I14" s="10">
        <v>1</v>
      </c>
      <c r="J14" s="11" t="str">
        <f>IF(I14&gt;=1,"완료",IF(I14&gt;0,"진행 중","예정"))</f>
        <v>완료</v>
      </c>
      <c r="K14" s="6" t="s">
        <v>44</v>
      </c>
    </row>
    <row r="15" spans="1:11" x14ac:dyDescent="0.25">
      <c r="A15" s="5">
        <v>10</v>
      </c>
      <c r="B15" s="6" t="s">
        <v>45</v>
      </c>
      <c r="C15" s="6" t="s">
        <v>46</v>
      </c>
      <c r="D15" s="6" t="s">
        <v>47</v>
      </c>
      <c r="E15" s="7" t="s">
        <v>17</v>
      </c>
      <c r="F15" s="8">
        <v>46323</v>
      </c>
      <c r="G15" s="8">
        <v>46323</v>
      </c>
      <c r="H15" s="9">
        <f>G15-F15+1</f>
        <v>1</v>
      </c>
      <c r="I15" s="10">
        <v>1</v>
      </c>
      <c r="J15" s="11" t="str">
        <f>IF(I15&gt;=1,"완료",IF(I15&gt;0,"진행 중","예정"))</f>
        <v>완료</v>
      </c>
      <c r="K15" s="6" t="s">
        <v>48</v>
      </c>
    </row>
    <row r="16" spans="1:11" x14ac:dyDescent="0.25">
      <c r="A16" s="5">
        <v>11</v>
      </c>
      <c r="B16" s="6" t="s">
        <v>45</v>
      </c>
      <c r="C16" s="6" t="s">
        <v>49</v>
      </c>
      <c r="D16" s="6" t="s">
        <v>50</v>
      </c>
      <c r="E16" s="7" t="s">
        <v>17</v>
      </c>
      <c r="F16" s="8">
        <v>46323</v>
      </c>
      <c r="G16" s="8">
        <v>46323</v>
      </c>
      <c r="H16" s="9">
        <f>G16-F16+1</f>
        <v>1</v>
      </c>
      <c r="I16" s="10">
        <v>1</v>
      </c>
      <c r="J16" s="11" t="str">
        <f>IF(I16&gt;=1,"완료",IF(I16&gt;0,"진행 중","예정"))</f>
        <v>완료</v>
      </c>
      <c r="K16" s="6" t="s">
        <v>51</v>
      </c>
    </row>
    <row r="17" spans="1:11" x14ac:dyDescent="0.25">
      <c r="A17" s="5">
        <v>12</v>
      </c>
      <c r="B17" s="6" t="s">
        <v>45</v>
      </c>
      <c r="C17" s="6" t="s">
        <v>52</v>
      </c>
      <c r="D17" s="6" t="s">
        <v>20</v>
      </c>
      <c r="E17" s="7" t="s">
        <v>17</v>
      </c>
      <c r="F17" s="8">
        <v>46323</v>
      </c>
      <c r="G17" s="8">
        <v>46323</v>
      </c>
      <c r="H17" s="9">
        <f>G17-F17+1</f>
        <v>1</v>
      </c>
      <c r="I17" s="10">
        <v>1</v>
      </c>
      <c r="J17" s="11" t="str">
        <f>IF(I17&gt;=1,"완료",IF(I17&gt;0,"진행 중","예정"))</f>
        <v>완료</v>
      </c>
      <c r="K17" s="6" t="s">
        <v>53</v>
      </c>
    </row>
    <row r="18" spans="1:11" x14ac:dyDescent="0.25">
      <c r="A18" s="5">
        <v>13</v>
      </c>
      <c r="B18" s="6" t="s">
        <v>54</v>
      </c>
      <c r="C18" s="6" t="s">
        <v>55</v>
      </c>
      <c r="D18" s="6" t="s">
        <v>56</v>
      </c>
      <c r="E18" s="7" t="s">
        <v>17</v>
      </c>
      <c r="F18" s="8">
        <v>46324</v>
      </c>
      <c r="G18" s="8">
        <v>46324</v>
      </c>
      <c r="H18" s="9">
        <f>G18-F18+1</f>
        <v>1</v>
      </c>
      <c r="I18" s="10">
        <v>1</v>
      </c>
      <c r="J18" s="11" t="str">
        <f>IF(I18&gt;=1,"완료",IF(I18&gt;0,"진행 중","예정"))</f>
        <v>완료</v>
      </c>
      <c r="K18" s="6" t="s">
        <v>57</v>
      </c>
    </row>
    <row r="19" spans="1:11" x14ac:dyDescent="0.25">
      <c r="A19" s="5">
        <v>14</v>
      </c>
      <c r="B19" s="6" t="s">
        <v>54</v>
      </c>
      <c r="C19" s="6" t="s">
        <v>58</v>
      </c>
      <c r="D19" s="6" t="s">
        <v>59</v>
      </c>
      <c r="E19" s="7" t="s">
        <v>17</v>
      </c>
      <c r="F19" s="8">
        <v>46324</v>
      </c>
      <c r="G19" s="8">
        <v>46324</v>
      </c>
      <c r="H19" s="9">
        <f>G19-F19+1</f>
        <v>1</v>
      </c>
      <c r="I19" s="10">
        <v>1</v>
      </c>
      <c r="J19" s="11" t="str">
        <f>IF(I19&gt;=1,"완료",IF(I19&gt;0,"진행 중","예정"))</f>
        <v>완료</v>
      </c>
      <c r="K19" s="6" t="s">
        <v>60</v>
      </c>
    </row>
    <row r="20" spans="1:11" x14ac:dyDescent="0.25">
      <c r="A20" s="5">
        <v>15</v>
      </c>
      <c r="B20" s="6" t="s">
        <v>54</v>
      </c>
      <c r="C20" s="6" t="s">
        <v>61</v>
      </c>
      <c r="D20" s="6" t="s">
        <v>62</v>
      </c>
      <c r="E20" s="7" t="s">
        <v>17</v>
      </c>
      <c r="F20" s="8">
        <v>46323</v>
      </c>
      <c r="G20" s="8">
        <v>46324</v>
      </c>
      <c r="H20" s="9">
        <f>G20-F20+1</f>
        <v>2</v>
      </c>
      <c r="I20" s="10">
        <v>1</v>
      </c>
      <c r="J20" s="11" t="str">
        <f>IF(I20&gt;=1,"완료",IF(I20&gt;0,"진행 중","예정"))</f>
        <v>완료</v>
      </c>
      <c r="K20" s="6" t="s">
        <v>63</v>
      </c>
    </row>
    <row r="21" spans="1:11" x14ac:dyDescent="0.25">
      <c r="A21" s="5">
        <v>16</v>
      </c>
      <c r="B21" s="6" t="s">
        <v>54</v>
      </c>
      <c r="C21" s="6" t="s">
        <v>64</v>
      </c>
      <c r="D21" s="6" t="s">
        <v>65</v>
      </c>
      <c r="E21" s="7" t="s">
        <v>17</v>
      </c>
      <c r="F21" s="8">
        <v>46324</v>
      </c>
      <c r="G21" s="8">
        <v>46324</v>
      </c>
      <c r="H21" s="9">
        <f>G21-F21+1</f>
        <v>1</v>
      </c>
      <c r="I21" s="10">
        <v>1</v>
      </c>
      <c r="J21" s="11" t="str">
        <f>IF(I21&gt;=1,"완료",IF(I21&gt;0,"진행 중","예정"))</f>
        <v>완료</v>
      </c>
      <c r="K21" s="6" t="s">
        <v>66</v>
      </c>
    </row>
    <row r="22" spans="1:11" x14ac:dyDescent="0.25">
      <c r="A22" s="5">
        <v>17</v>
      </c>
      <c r="B22" s="6" t="s">
        <v>54</v>
      </c>
      <c r="C22" s="6" t="s">
        <v>67</v>
      </c>
      <c r="D22" s="6" t="s">
        <v>68</v>
      </c>
      <c r="E22" s="7" t="s">
        <v>17</v>
      </c>
      <c r="F22" s="8">
        <v>46324</v>
      </c>
      <c r="G22" s="8">
        <v>46324</v>
      </c>
      <c r="H22" s="9">
        <f>G22-F22+1</f>
        <v>1</v>
      </c>
      <c r="I22" s="10">
        <v>1</v>
      </c>
      <c r="J22" s="11" t="str">
        <f>IF(I22&gt;=1,"완료",IF(I22&gt;0,"진행 중","예정"))</f>
        <v>완료</v>
      </c>
      <c r="K22" s="6" t="s">
        <v>69</v>
      </c>
    </row>
    <row r="23" spans="1:11" x14ac:dyDescent="0.25">
      <c r="A23" s="5">
        <v>18</v>
      </c>
      <c r="B23" s="6" t="s">
        <v>54</v>
      </c>
      <c r="C23" s="6" t="s">
        <v>70</v>
      </c>
      <c r="D23" s="6" t="s">
        <v>71</v>
      </c>
      <c r="E23" s="7" t="s">
        <v>17</v>
      </c>
      <c r="F23" s="8">
        <v>46324</v>
      </c>
      <c r="G23" s="8">
        <v>46324</v>
      </c>
      <c r="H23" s="9">
        <f>G23-F23+1</f>
        <v>1</v>
      </c>
      <c r="I23" s="10">
        <v>1</v>
      </c>
      <c r="J23" s="11" t="str">
        <f>IF(I23&gt;=1,"완료",IF(I23&gt;0,"진행 중","예정"))</f>
        <v>완료</v>
      </c>
      <c r="K23" s="6" t="s">
        <v>72</v>
      </c>
    </row>
    <row r="24" spans="1:11" x14ac:dyDescent="0.25">
      <c r="A24" s="5">
        <v>19</v>
      </c>
      <c r="B24" s="6" t="s">
        <v>54</v>
      </c>
      <c r="C24" s="6" t="s">
        <v>73</v>
      </c>
      <c r="D24" s="6" t="s">
        <v>74</v>
      </c>
      <c r="E24" s="7" t="s">
        <v>17</v>
      </c>
      <c r="F24" s="8">
        <v>46324</v>
      </c>
      <c r="G24" s="8">
        <v>46324</v>
      </c>
      <c r="H24" s="9">
        <f>G24-F24+1</f>
        <v>1</v>
      </c>
      <c r="I24" s="10">
        <v>1</v>
      </c>
      <c r="J24" s="11" t="str">
        <f>IF(I24&gt;=1,"완료",IF(I24&gt;0,"진행 중","예정"))</f>
        <v>완료</v>
      </c>
      <c r="K24" s="6" t="s">
        <v>75</v>
      </c>
    </row>
    <row r="25" spans="1:11" x14ac:dyDescent="0.25">
      <c r="A25" s="5">
        <v>20</v>
      </c>
      <c r="B25" s="6" t="s">
        <v>54</v>
      </c>
      <c r="C25" s="6" t="s">
        <v>76</v>
      </c>
      <c r="D25" s="6" t="s">
        <v>77</v>
      </c>
      <c r="E25" s="7" t="s">
        <v>17</v>
      </c>
      <c r="F25" s="8">
        <v>46324</v>
      </c>
      <c r="G25" s="8">
        <v>46324</v>
      </c>
      <c r="H25" s="9">
        <f>G25-F25+1</f>
        <v>1</v>
      </c>
      <c r="I25" s="10">
        <v>1</v>
      </c>
      <c r="J25" s="11" t="str">
        <f>IF(I25&gt;=1,"완료",IF(I25&gt;0,"진행 중","예정"))</f>
        <v>완료</v>
      </c>
      <c r="K25" s="6" t="s">
        <v>78</v>
      </c>
    </row>
    <row r="26" spans="1:11" x14ac:dyDescent="0.25">
      <c r="A26" s="5">
        <v>21</v>
      </c>
      <c r="B26" s="6" t="s">
        <v>54</v>
      </c>
      <c r="C26" s="6" t="s">
        <v>79</v>
      </c>
      <c r="D26" s="6" t="s">
        <v>80</v>
      </c>
      <c r="E26" s="7" t="s">
        <v>17</v>
      </c>
      <c r="F26" s="8">
        <v>46324</v>
      </c>
      <c r="G26" s="8">
        <v>46324</v>
      </c>
      <c r="H26" s="9">
        <f>G26-F26+1</f>
        <v>1</v>
      </c>
      <c r="I26" s="10">
        <v>1</v>
      </c>
      <c r="J26" s="11" t="str">
        <f>IF(I26&gt;=1,"완료",IF(I26&gt;0,"진행 중","예정"))</f>
        <v>완료</v>
      </c>
      <c r="K26" s="6" t="s">
        <v>81</v>
      </c>
    </row>
    <row r="27" spans="1:11" x14ac:dyDescent="0.25">
      <c r="A27" s="5">
        <v>22</v>
      </c>
      <c r="B27" s="6" t="s">
        <v>54</v>
      </c>
      <c r="C27" s="6" t="s">
        <v>82</v>
      </c>
      <c r="D27" s="6" t="s">
        <v>83</v>
      </c>
      <c r="E27" s="7" t="s">
        <v>17</v>
      </c>
      <c r="F27" s="8">
        <v>46324</v>
      </c>
      <c r="G27" s="8">
        <v>46324</v>
      </c>
      <c r="H27" s="9">
        <f>G27-F27+1</f>
        <v>1</v>
      </c>
      <c r="I27" s="10">
        <v>1</v>
      </c>
      <c r="J27" s="11" t="str">
        <f>IF(I27&gt;=1,"완료",IF(I27&gt;0,"진행 중","예정"))</f>
        <v>완료</v>
      </c>
      <c r="K27" s="6" t="s">
        <v>84</v>
      </c>
    </row>
    <row r="28" spans="1:11" x14ac:dyDescent="0.25">
      <c r="A28" s="5">
        <v>23</v>
      </c>
      <c r="B28" s="6" t="s">
        <v>54</v>
      </c>
      <c r="C28" s="6" t="s">
        <v>85</v>
      </c>
      <c r="D28" s="6" t="s">
        <v>86</v>
      </c>
      <c r="E28" s="7" t="s">
        <v>17</v>
      </c>
      <c r="F28" s="8">
        <v>46324</v>
      </c>
      <c r="G28" s="8">
        <v>46324</v>
      </c>
      <c r="H28" s="9">
        <f>G28-F28+1</f>
        <v>1</v>
      </c>
      <c r="I28" s="10">
        <v>1</v>
      </c>
      <c r="J28" s="11" t="str">
        <f>IF(I28&gt;=1,"완료",IF(I28&gt;0,"진행 중","예정"))</f>
        <v>완료</v>
      </c>
      <c r="K28" s="6" t="s">
        <v>87</v>
      </c>
    </row>
    <row r="29" spans="1:11" x14ac:dyDescent="0.25">
      <c r="A29" s="5">
        <v>24</v>
      </c>
      <c r="B29" s="6" t="s">
        <v>54</v>
      </c>
      <c r="C29" s="6" t="s">
        <v>88</v>
      </c>
      <c r="D29" s="6" t="s">
        <v>89</v>
      </c>
      <c r="E29" s="7" t="s">
        <v>17</v>
      </c>
      <c r="F29" s="8">
        <v>46324</v>
      </c>
      <c r="G29" s="8">
        <v>46324</v>
      </c>
      <c r="H29" s="9">
        <f>G29-F29+1</f>
        <v>1</v>
      </c>
      <c r="I29" s="10">
        <v>1</v>
      </c>
      <c r="J29" s="11" t="str">
        <f>IF(I29&gt;=1,"완료",IF(I29&gt;0,"진행 중","예정"))</f>
        <v>완료</v>
      </c>
      <c r="K29" s="6" t="s">
        <v>90</v>
      </c>
    </row>
    <row r="30" spans="1:11" x14ac:dyDescent="0.25">
      <c r="A30" s="5">
        <v>25</v>
      </c>
      <c r="B30" s="6" t="s">
        <v>91</v>
      </c>
      <c r="C30" s="6" t="s">
        <v>92</v>
      </c>
      <c r="D30" s="6" t="s">
        <v>93</v>
      </c>
      <c r="E30" s="7" t="s">
        <v>17</v>
      </c>
      <c r="F30" s="8">
        <v>46324</v>
      </c>
      <c r="G30" s="8">
        <v>46324</v>
      </c>
      <c r="H30" s="9">
        <f>G30-F30+1</f>
        <v>1</v>
      </c>
      <c r="I30" s="10">
        <v>1</v>
      </c>
      <c r="J30" s="11" t="str">
        <f>IF(I30&gt;=1,"완료",IF(I30&gt;0,"진행 중","예정"))</f>
        <v>완료</v>
      </c>
      <c r="K30" s="6" t="s">
        <v>94</v>
      </c>
    </row>
    <row r="31" spans="1:11" x14ac:dyDescent="0.25">
      <c r="A31" s="5">
        <v>26</v>
      </c>
      <c r="B31" s="6" t="s">
        <v>91</v>
      </c>
      <c r="C31" s="6" t="s">
        <v>95</v>
      </c>
      <c r="D31" s="6" t="s">
        <v>93</v>
      </c>
      <c r="E31" s="7" t="s">
        <v>17</v>
      </c>
      <c r="F31" s="8">
        <v>46324</v>
      </c>
      <c r="G31" s="8">
        <v>46324</v>
      </c>
      <c r="H31" s="9">
        <f>G31-F31+1</f>
        <v>1</v>
      </c>
      <c r="I31" s="10">
        <v>1</v>
      </c>
      <c r="J31" s="11" t="str">
        <f>IF(I31&gt;=1,"완료",IF(I31&gt;0,"진행 중","예정"))</f>
        <v>완료</v>
      </c>
      <c r="K31" s="6" t="s">
        <v>96</v>
      </c>
    </row>
    <row r="32" spans="1:11" x14ac:dyDescent="0.25">
      <c r="A32" s="5">
        <v>27</v>
      </c>
      <c r="B32" s="6" t="s">
        <v>91</v>
      </c>
      <c r="C32" s="6" t="s">
        <v>97</v>
      </c>
      <c r="D32" s="6" t="s">
        <v>98</v>
      </c>
      <c r="E32" s="7" t="s">
        <v>17</v>
      </c>
      <c r="F32" s="8">
        <v>46324</v>
      </c>
      <c r="G32" s="8">
        <v>46324</v>
      </c>
      <c r="H32" s="9">
        <f>G32-F32+1</f>
        <v>1</v>
      </c>
      <c r="I32" s="10">
        <v>1</v>
      </c>
      <c r="J32" s="11" t="str">
        <f>IF(I32&gt;=1,"완료",IF(I32&gt;0,"진행 중","예정"))</f>
        <v>완료</v>
      </c>
      <c r="K32" s="6" t="s">
        <v>99</v>
      </c>
    </row>
    <row r="33" spans="1:11" x14ac:dyDescent="0.25">
      <c r="A33" s="5">
        <v>28</v>
      </c>
      <c r="B33" s="6" t="s">
        <v>91</v>
      </c>
      <c r="C33" s="6" t="s">
        <v>100</v>
      </c>
      <c r="D33" s="6" t="s">
        <v>98</v>
      </c>
      <c r="E33" s="7" t="s">
        <v>17</v>
      </c>
      <c r="F33" s="8">
        <v>46324</v>
      </c>
      <c r="G33" s="8">
        <v>46324</v>
      </c>
      <c r="H33" s="9">
        <f>G33-F33+1</f>
        <v>1</v>
      </c>
      <c r="I33" s="10">
        <v>1</v>
      </c>
      <c r="J33" s="11" t="str">
        <f>IF(I33&gt;=1,"완료",IF(I33&gt;0,"진행 중","예정"))</f>
        <v>완료</v>
      </c>
      <c r="K33" s="6" t="s">
        <v>101</v>
      </c>
    </row>
    <row r="34" spans="1:11" x14ac:dyDescent="0.25">
      <c r="A34" s="5">
        <v>29</v>
      </c>
      <c r="B34" s="6" t="s">
        <v>102</v>
      </c>
      <c r="C34" s="6" t="s">
        <v>103</v>
      </c>
      <c r="D34" s="6" t="s">
        <v>98</v>
      </c>
      <c r="E34" s="7" t="s">
        <v>17</v>
      </c>
      <c r="F34" s="8">
        <v>46325</v>
      </c>
      <c r="G34" s="8">
        <v>46325</v>
      </c>
      <c r="H34" s="9">
        <f>G34-F34+1</f>
        <v>1</v>
      </c>
      <c r="I34" s="10">
        <v>1</v>
      </c>
      <c r="J34" s="11" t="str">
        <f>IF(I34&gt;=1,"완료",IF(I34&gt;0,"진행 중","예정"))</f>
        <v>완료</v>
      </c>
      <c r="K34" s="6" t="s">
        <v>104</v>
      </c>
    </row>
    <row r="35" spans="1:11" x14ac:dyDescent="0.25">
      <c r="A35" s="5">
        <v>30</v>
      </c>
      <c r="B35" s="6" t="s">
        <v>102</v>
      </c>
      <c r="C35" s="6" t="s">
        <v>105</v>
      </c>
      <c r="D35" s="6" t="s">
        <v>98</v>
      </c>
      <c r="E35" s="7" t="s">
        <v>17</v>
      </c>
      <c r="F35" s="8">
        <v>46327</v>
      </c>
      <c r="G35" s="8">
        <v>46327</v>
      </c>
      <c r="H35" s="9">
        <f>G35-F35+1</f>
        <v>1</v>
      </c>
      <c r="I35" s="10">
        <v>1</v>
      </c>
      <c r="J35" s="11" t="str">
        <f>IF(I35&gt;=1,"완료",IF(I35&gt;0,"진행 중","예정"))</f>
        <v>완료</v>
      </c>
      <c r="K35" s="6" t="s">
        <v>106</v>
      </c>
    </row>
    <row r="36" spans="1:11" x14ac:dyDescent="0.25">
      <c r="A36" s="5">
        <v>31</v>
      </c>
      <c r="B36" s="6" t="s">
        <v>102</v>
      </c>
      <c r="C36" s="6" t="s">
        <v>107</v>
      </c>
      <c r="D36" s="6" t="s">
        <v>98</v>
      </c>
      <c r="E36" s="7" t="s">
        <v>17</v>
      </c>
      <c r="F36" s="8">
        <v>46327</v>
      </c>
      <c r="G36" s="8">
        <v>46327</v>
      </c>
      <c r="H36" s="9">
        <f>G36-F36+1</f>
        <v>1</v>
      </c>
      <c r="I36" s="10">
        <v>1</v>
      </c>
      <c r="J36" s="11" t="str">
        <f>IF(I36&gt;=1,"완료",IF(I36&gt;0,"진행 중","예정"))</f>
        <v>완료</v>
      </c>
      <c r="K36" s="6" t="s">
        <v>108</v>
      </c>
    </row>
    <row r="37" spans="1:11" x14ac:dyDescent="0.25">
      <c r="A37" s="5">
        <v>32</v>
      </c>
      <c r="B37" s="6" t="s">
        <v>109</v>
      </c>
      <c r="C37" s="6" t="s">
        <v>110</v>
      </c>
      <c r="D37" s="6" t="s">
        <v>111</v>
      </c>
      <c r="E37" s="7" t="s">
        <v>17</v>
      </c>
      <c r="F37" s="8">
        <v>46328</v>
      </c>
      <c r="G37" s="8">
        <v>46328</v>
      </c>
      <c r="H37" s="9">
        <f>G37-F37+1</f>
        <v>1</v>
      </c>
      <c r="I37" s="10">
        <v>1</v>
      </c>
      <c r="J37" s="11" t="str">
        <f>IF(I37&gt;=1,"완료",IF(I37&gt;0,"진행 중","예정"))</f>
        <v>완료</v>
      </c>
      <c r="K37" s="6" t="s">
        <v>112</v>
      </c>
    </row>
    <row r="38" spans="1:11" x14ac:dyDescent="0.25">
      <c r="A38" s="5">
        <v>33</v>
      </c>
      <c r="B38" s="6" t="s">
        <v>109</v>
      </c>
      <c r="C38" s="6" t="s">
        <v>113</v>
      </c>
      <c r="D38" s="6" t="s">
        <v>114</v>
      </c>
      <c r="E38" s="7" t="s">
        <v>17</v>
      </c>
      <c r="F38" s="8">
        <v>46328</v>
      </c>
      <c r="G38" s="8">
        <v>46328</v>
      </c>
      <c r="H38" s="9">
        <f>G38-F38+1</f>
        <v>1</v>
      </c>
      <c r="I38" s="10">
        <v>1</v>
      </c>
      <c r="J38" s="11" t="str">
        <f>IF(I38&gt;=1,"완료",IF(I38&gt;0,"진행 중","예정"))</f>
        <v>완료</v>
      </c>
      <c r="K38" s="6" t="s">
        <v>115</v>
      </c>
    </row>
    <row r="39" spans="1:11" x14ac:dyDescent="0.25">
      <c r="A39" s="5">
        <v>34</v>
      </c>
      <c r="B39" s="6" t="s">
        <v>109</v>
      </c>
      <c r="C39" s="6" t="s">
        <v>116</v>
      </c>
      <c r="D39" s="6" t="s">
        <v>117</v>
      </c>
      <c r="E39" s="7" t="s">
        <v>17</v>
      </c>
      <c r="F39" s="8">
        <v>46328</v>
      </c>
      <c r="G39" s="8">
        <v>46328</v>
      </c>
      <c r="H39" s="9">
        <f>G39-F39+1</f>
        <v>1</v>
      </c>
      <c r="I39" s="10">
        <v>1</v>
      </c>
      <c r="J39" s="11" t="str">
        <f>IF(I39&gt;=1,"완료",IF(I39&gt;0,"진행 중","예정"))</f>
        <v>완료</v>
      </c>
      <c r="K39" s="6" t="s">
        <v>118</v>
      </c>
    </row>
    <row r="40" spans="1:11" x14ac:dyDescent="0.25">
      <c r="A40" s="5">
        <v>35</v>
      </c>
      <c r="B40" s="6" t="s">
        <v>109</v>
      </c>
      <c r="C40" s="6" t="s">
        <v>119</v>
      </c>
      <c r="D40" s="6" t="s">
        <v>98</v>
      </c>
      <c r="E40" s="7" t="s">
        <v>17</v>
      </c>
      <c r="F40" s="8">
        <v>46328</v>
      </c>
      <c r="G40" s="8">
        <v>46328</v>
      </c>
      <c r="H40" s="9">
        <f>G40-F40+1</f>
        <v>1</v>
      </c>
      <c r="I40" s="10">
        <v>0.9</v>
      </c>
      <c r="J40" s="11" t="str">
        <f>IF(I40&gt;=1,"완료",IF(I40&gt;0,"진행 중","예정"))</f>
        <v>진행 중</v>
      </c>
      <c r="K40" s="6" t="s">
        <v>120</v>
      </c>
    </row>
    <row r="41" spans="1:11" x14ac:dyDescent="0.25">
      <c r="A41" s="5">
        <v>36</v>
      </c>
      <c r="B41" s="6" t="s">
        <v>109</v>
      </c>
      <c r="C41" s="6" t="s">
        <v>121</v>
      </c>
      <c r="D41" s="6" t="s">
        <v>98</v>
      </c>
      <c r="E41" s="7" t="s">
        <v>17</v>
      </c>
      <c r="F41" s="8">
        <v>46328</v>
      </c>
      <c r="G41" s="8">
        <v>46329</v>
      </c>
      <c r="H41" s="9">
        <f>G41-F41+1</f>
        <v>2</v>
      </c>
      <c r="I41" s="10">
        <v>0.3</v>
      </c>
      <c r="J41" s="11" t="str">
        <f>IF(I41&gt;=1,"완료",IF(I41&gt;0,"진행 중","예정"))</f>
        <v>진행 중</v>
      </c>
      <c r="K41" s="6" t="s">
        <v>122</v>
      </c>
    </row>
    <row r="42" spans="1:11" x14ac:dyDescent="0.25">
      <c r="A42" s="5">
        <v>37</v>
      </c>
      <c r="B42" s="6" t="s">
        <v>123</v>
      </c>
      <c r="C42" s="6" t="s">
        <v>124</v>
      </c>
      <c r="D42" s="6" t="s">
        <v>93</v>
      </c>
      <c r="E42" s="7" t="s">
        <v>125</v>
      </c>
      <c r="F42" s="12">
        <v>46329</v>
      </c>
      <c r="G42" s="12">
        <v>46330</v>
      </c>
      <c r="H42" s="9">
        <f>G42-F42+1</f>
        <v>2</v>
      </c>
      <c r="I42" s="10">
        <v>0</v>
      </c>
      <c r="J42" s="11" t="str">
        <f>IF(I42&gt;=1,"완료",IF(I42&gt;0,"진행 중","예정"))</f>
        <v>예정</v>
      </c>
      <c r="K42" s="6" t="s">
        <v>126</v>
      </c>
    </row>
    <row r="43" spans="1:11" x14ac:dyDescent="0.25">
      <c r="A43" s="5">
        <v>38</v>
      </c>
      <c r="B43" s="6" t="s">
        <v>123</v>
      </c>
      <c r="C43" s="6" t="s">
        <v>127</v>
      </c>
      <c r="D43" s="6" t="s">
        <v>128</v>
      </c>
      <c r="E43" s="7" t="s">
        <v>125</v>
      </c>
      <c r="F43" s="12">
        <v>46329</v>
      </c>
      <c r="G43" s="12">
        <v>46330</v>
      </c>
      <c r="H43" s="9">
        <f>G43-F43+1</f>
        <v>2</v>
      </c>
      <c r="I43" s="10">
        <v>0</v>
      </c>
      <c r="J43" s="11" t="str">
        <f>IF(I43&gt;=1,"완료",IF(I43&gt;0,"진행 중","예정"))</f>
        <v>예정</v>
      </c>
      <c r="K43" s="6" t="s">
        <v>129</v>
      </c>
    </row>
    <row r="44" spans="1:11" x14ac:dyDescent="0.25">
      <c r="A44" s="5">
        <v>39</v>
      </c>
      <c r="B44" s="6" t="s">
        <v>123</v>
      </c>
      <c r="C44" s="6" t="s">
        <v>130</v>
      </c>
      <c r="D44" s="6" t="s">
        <v>131</v>
      </c>
      <c r="E44" s="7" t="s">
        <v>125</v>
      </c>
      <c r="F44" s="12">
        <v>46330</v>
      </c>
      <c r="G44" s="12">
        <v>46330</v>
      </c>
      <c r="H44" s="9">
        <f>G44-F44+1</f>
        <v>1</v>
      </c>
      <c r="I44" s="10">
        <v>0</v>
      </c>
      <c r="J44" s="11" t="str">
        <f>IF(I44&gt;=1,"완료",IF(I44&gt;0,"진행 중","예정"))</f>
        <v>예정</v>
      </c>
      <c r="K44" s="6" t="s">
        <v>132</v>
      </c>
    </row>
    <row r="45" spans="1:11" x14ac:dyDescent="0.25">
      <c r="A45" s="5">
        <v>40</v>
      </c>
      <c r="B45" s="6" t="s">
        <v>123</v>
      </c>
      <c r="C45" s="6" t="s">
        <v>133</v>
      </c>
      <c r="D45" s="6" t="s">
        <v>134</v>
      </c>
      <c r="E45" s="7" t="s">
        <v>125</v>
      </c>
      <c r="F45" s="12">
        <v>46330</v>
      </c>
      <c r="G45" s="12">
        <v>46331</v>
      </c>
      <c r="H45" s="9">
        <f>G45-F45+1</f>
        <v>2</v>
      </c>
      <c r="I45" s="10">
        <v>0</v>
      </c>
      <c r="J45" s="11" t="str">
        <f>IF(I45&gt;=1,"완료",IF(I45&gt;0,"진행 중","예정"))</f>
        <v>예정</v>
      </c>
      <c r="K45" s="6" t="s">
        <v>135</v>
      </c>
    </row>
    <row r="46" spans="1:11" x14ac:dyDescent="0.25">
      <c r="A46" s="5">
        <v>41</v>
      </c>
      <c r="B46" s="6" t="s">
        <v>123</v>
      </c>
      <c r="C46" s="6" t="s">
        <v>136</v>
      </c>
      <c r="D46" s="6" t="s">
        <v>134</v>
      </c>
      <c r="E46" s="7" t="s">
        <v>125</v>
      </c>
      <c r="F46" s="12">
        <v>46332</v>
      </c>
      <c r="G46" s="12">
        <v>46332</v>
      </c>
      <c r="H46" s="9">
        <f>G46-F46+1</f>
        <v>1</v>
      </c>
      <c r="I46" s="10">
        <v>0</v>
      </c>
      <c r="J46" s="11" t="str">
        <f>IF(I46&gt;=1,"완료",IF(I46&gt;0,"진행 중","예정"))</f>
        <v>예정</v>
      </c>
      <c r="K46" s="6" t="s">
        <v>137</v>
      </c>
    </row>
    <row r="48" spans="1:11" x14ac:dyDescent="0.25">
      <c r="C48" s="13" t="s">
        <v>138</v>
      </c>
    </row>
  </sheetData>
  <autoFilter ref="A5:K46"/>
  <mergeCells count="3">
    <mergeCell ref="A1:K1"/>
    <mergeCell ref="A2:K2"/>
    <mergeCell ref="A3:K3"/>
  </mergeCells>
  <conditionalFormatting sqref="J6:J46">
    <cfRule type="cellIs" dxfId="0" priority="1" operator="equal">
      <formula>"완료"</formula>
    </cfRule>
    <cfRule type="cellIs" dxfId="1" priority="2" operator="equal">
      <formula>"진행 중"</formula>
    </cfRule>
    <cfRule type="cellIs" dxfId="2" priority="3" operator="equal">
      <formula>"예정"</formula>
    </cfRule>
  </conditionalFormatting>
  <conditionalFormatting sqref="I6:I46">
    <cfRule type="dataBar" priority="4">
      <dataBar>
        <cfvo type="num" val="0"/>
        <cfvo type="num" val="1"/>
        <color rgb="FF9CC3EE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dataValidations count="3">
    <dataValidation type="decimal" allowBlank="1" showInputMessage="1" showErrorMessage="1" errorTitle="진척률" error="0%~100% 사이로 입력하세요." sqref="I6:I46">
      <formula1>0</formula1>
      <formula2>1</formula2>
    </dataValidation>
    <dataValidation type="list" allowBlank="1" showInputMessage="1" showErrorMessage="1" sqref="E6:E46">
      <formula1>"박은정,반재영,장선화,팀 전체,미정"</formula1>
    </dataValidation>
    <dataValidation type="custom" allowBlank="1" showInputMessage="1" showErrorMessage="1" errorTitle="종료일" error="종료일은 시작일보다 빠를 수 없습니다." sqref="G6:G46">
      <formula1>G6&gt;=F6</formula1>
    </dataValidation>
  </dataValidations>
  <pageMargins left="0.7" right="0.7" top="0.75" bottom="0.75" header="0.3" footer="0.3"/>
  <pageSetup paperSize="9"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9CC3EE"/>
              <x14:negativeFillColor rgb="FFFF0000"/>
              <x14:negativeBorderColor rgb="FFFF0000"/>
              <x14:axisColor rgb="FF000000"/>
            </x14:dataBar>
          </x14:cfRule>
          <xm:sqref>I6:I46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45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5.7109375" customWidth="1"/>
    <col min="2" max="2" width="48.7109375" customWidth="1"/>
    <col min="3" max="4" width="11.7109375" customWidth="1"/>
    <col min="5" max="5" width="8.7109375" customWidth="1"/>
    <col min="6" max="19" width="4.85546875" customWidth="1"/>
  </cols>
  <sheetData>
    <row r="1" spans="1:19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2" t="s">
        <v>140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33.75" customHeight="1">
      <c r="A4" s="4" t="s">
        <v>3</v>
      </c>
      <c r="B4" s="4" t="s">
        <v>5</v>
      </c>
      <c r="C4" s="4" t="s">
        <v>141</v>
      </c>
      <c r="D4" s="4" t="s">
        <v>142</v>
      </c>
      <c r="E4" s="4" t="s">
        <v>12</v>
      </c>
      <c r="F4" s="14">
        <v>46322</v>
      </c>
      <c r="G4" s="14">
        <f>F4+1</f>
        <v>46323</v>
      </c>
      <c r="H4" s="14">
        <f>G4+1</f>
        <v>46324</v>
      </c>
      <c r="I4" s="14">
        <f>H4+1</f>
        <v>46325</v>
      </c>
      <c r="J4" s="14">
        <f>I4+1</f>
        <v>46326</v>
      </c>
      <c r="K4" s="14">
        <f>J4+1</f>
        <v>46327</v>
      </c>
      <c r="L4" s="14">
        <f>K4+1</f>
        <v>46328</v>
      </c>
      <c r="M4" s="14">
        <f>L4+1</f>
        <v>46329</v>
      </c>
      <c r="N4" s="14">
        <f>M4+1</f>
        <v>46330</v>
      </c>
      <c r="O4" s="14">
        <f>N4+1</f>
        <v>46331</v>
      </c>
      <c r="P4" s="14">
        <f>O4+1</f>
        <v>46332</v>
      </c>
      <c r="Q4" s="14">
        <f>P4+1</f>
        <v>46333</v>
      </c>
      <c r="R4" s="14">
        <f>Q4+1</f>
        <v>46334</v>
      </c>
      <c r="S4" s="14">
        <f>R4+1</f>
        <v>46335</v>
      </c>
    </row>
    <row r="5" spans="1:19">
      <c r="A5" s="15">
        <f>'개발일정표'!A6</f>
        <v>1</v>
      </c>
      <c r="B5" s="16" t="str">
        <f>'개발일정표'!C6</f>
        <v>요구사항 분석 및 프로젝트 구조 설계</v>
      </c>
      <c r="C5" s="17">
        <f>'개발일정표'!F6</f>
        <v>46322</v>
      </c>
      <c r="D5" s="17">
        <f>'개발일정표'!G6</f>
        <v>46322</v>
      </c>
      <c r="E5" s="15" t="str">
        <f>'개발일정표'!J6</f>
        <v>완료</v>
      </c>
      <c r="F5" s="18">
        <f>IF(AND(F$4&gt;=$C5,F$4&lt;=$D5),1,"")</f>
        <v>1</v>
      </c>
      <c r="G5" s="18">
        <f>IF(AND(G$4&gt;=$C5,G$4&lt;=$D5),1,"")</f>
        <v/>
      </c>
      <c r="H5" s="18">
        <f>IF(AND(H$4&gt;=$C5,H$4&lt;=$D5),1,"")</f>
        <v/>
      </c>
      <c r="I5" s="18">
        <f>IF(AND(I$4&gt;=$C5,I$4&lt;=$D5),1,"")</f>
        <v/>
      </c>
      <c r="J5" s="18">
        <f>IF(AND(J$4&gt;=$C5,J$4&lt;=$D5),1,"")</f>
        <v/>
      </c>
      <c r="K5" s="18">
        <f>IF(AND(K$4&gt;=$C5,K$4&lt;=$D5),1,"")</f>
        <v/>
      </c>
      <c r="L5" s="18">
        <f>IF(AND(L$4&gt;=$C5,L$4&lt;=$D5),1,"")</f>
        <v/>
      </c>
      <c r="M5" s="18">
        <f>IF(AND(M$4&gt;=$C5,M$4&lt;=$D5),1,"")</f>
        <v/>
      </c>
      <c r="N5" s="18">
        <f>IF(AND(N$4&gt;=$C5,N$4&lt;=$D5),1,"")</f>
        <v/>
      </c>
      <c r="O5" s="18">
        <f>IF(AND(O$4&gt;=$C5,O$4&lt;=$D5),1,"")</f>
        <v/>
      </c>
      <c r="P5" s="18">
        <f>IF(AND(P$4&gt;=$C5,P$4&lt;=$D5),1,"")</f>
        <v/>
      </c>
      <c r="Q5" s="18">
        <f>IF(AND(Q$4&gt;=$C5,Q$4&lt;=$D5),1,"")</f>
        <v/>
      </c>
      <c r="R5" s="18">
        <f>IF(AND(R$4&gt;=$C5,R$4&lt;=$D5),1,"")</f>
        <v/>
      </c>
      <c r="S5" s="18">
        <f>IF(AND(S$4&gt;=$C5,S$4&lt;=$D5),1,"")</f>
        <v/>
      </c>
    </row>
    <row r="6" spans="1:19">
      <c r="A6" s="15">
        <f>'개발일정표'!A7</f>
        <v>2</v>
      </c>
      <c r="B6" s="16" t="str">
        <f>'개발일정표'!C7</f>
        <v>솔루션·Git 저장소·CI 초안 준비</v>
      </c>
      <c r="C6" s="17">
        <f>'개발일정표'!F7</f>
        <v>46322</v>
      </c>
      <c r="D6" s="17">
        <f>'개발일정표'!G7</f>
        <v>46322</v>
      </c>
      <c r="E6" s="15" t="str">
        <f>'개발일정표'!J7</f>
        <v>완료</v>
      </c>
      <c r="F6" s="18">
        <f>IF(AND(F$4&gt;=$C6,F$4&lt;=$D6),1,"")</f>
        <v>1</v>
      </c>
      <c r="G6" s="18">
        <f>IF(AND(G$4&gt;=$C6,G$4&lt;=$D6),1,"")</f>
        <v/>
      </c>
      <c r="H6" s="18">
        <f>IF(AND(H$4&gt;=$C6,H$4&lt;=$D6),1,"")</f>
        <v/>
      </c>
      <c r="I6" s="18">
        <f>IF(AND(I$4&gt;=$C6,I$4&lt;=$D6),1,"")</f>
        <v/>
      </c>
      <c r="J6" s="18">
        <f>IF(AND(J$4&gt;=$C6,J$4&lt;=$D6),1,"")</f>
        <v/>
      </c>
      <c r="K6" s="18">
        <f>IF(AND(K$4&gt;=$C6,K$4&lt;=$D6),1,"")</f>
        <v/>
      </c>
      <c r="L6" s="18">
        <f>IF(AND(L$4&gt;=$C6,L$4&lt;=$D6),1,"")</f>
        <v/>
      </c>
      <c r="M6" s="18">
        <f>IF(AND(M$4&gt;=$C6,M$4&lt;=$D6),1,"")</f>
        <v/>
      </c>
      <c r="N6" s="18">
        <f>IF(AND(N$4&gt;=$C6,N$4&lt;=$D6),1,"")</f>
        <v/>
      </c>
      <c r="O6" s="18">
        <f>IF(AND(O$4&gt;=$C6,O$4&lt;=$D6),1,"")</f>
        <v/>
      </c>
      <c r="P6" s="18">
        <f>IF(AND(P$4&gt;=$C6,P$4&lt;=$D6),1,"")</f>
        <v/>
      </c>
      <c r="Q6" s="18">
        <f>IF(AND(Q$4&gt;=$C6,Q$4&lt;=$D6),1,"")</f>
        <v/>
      </c>
      <c r="R6" s="18">
        <f>IF(AND(R$4&gt;=$C6,R$4&lt;=$D6),1,"")</f>
        <v/>
      </c>
      <c r="S6" s="18">
        <f>IF(AND(S$4&gt;=$C6,S$4&lt;=$D6),1,"")</f>
        <v/>
      </c>
    </row>
    <row r="7" spans="1:19">
      <c r="A7" s="15">
        <f>'개발일정표'!A8</f>
        <v>3</v>
      </c>
      <c r="B7" s="16" t="str">
        <f>'개발일정표'!C8</f>
        <v>패킷 정의·직렬화·통신 프로토콜 설계</v>
      </c>
      <c r="C7" s="17">
        <f>'개발일정표'!F8</f>
        <v>46322</v>
      </c>
      <c r="D7" s="17">
        <f>'개발일정표'!G8</f>
        <v>46323</v>
      </c>
      <c r="E7" s="15" t="str">
        <f>'개발일정표'!J8</f>
        <v>완료</v>
      </c>
      <c r="F7" s="18">
        <f>IF(AND(F$4&gt;=$C7,F$4&lt;=$D7),1,"")</f>
        <v>1</v>
      </c>
      <c r="G7" s="18">
        <f>IF(AND(G$4&gt;=$C7,G$4&lt;=$D7),1,"")</f>
        <v>1</v>
      </c>
      <c r="H7" s="18">
        <f>IF(AND(H$4&gt;=$C7,H$4&lt;=$D7),1,"")</f>
        <v/>
      </c>
      <c r="I7" s="18">
        <f>IF(AND(I$4&gt;=$C7,I$4&lt;=$D7),1,"")</f>
        <v/>
      </c>
      <c r="J7" s="18">
        <f>IF(AND(J$4&gt;=$C7,J$4&lt;=$D7),1,"")</f>
        <v/>
      </c>
      <c r="K7" s="18">
        <f>IF(AND(K$4&gt;=$C7,K$4&lt;=$D7),1,"")</f>
        <v/>
      </c>
      <c r="L7" s="18">
        <f>IF(AND(L$4&gt;=$C7,L$4&lt;=$D7),1,"")</f>
        <v/>
      </c>
      <c r="M7" s="18">
        <f>IF(AND(M$4&gt;=$C7,M$4&lt;=$D7),1,"")</f>
        <v/>
      </c>
      <c r="N7" s="18">
        <f>IF(AND(N$4&gt;=$C7,N$4&lt;=$D7),1,"")</f>
        <v/>
      </c>
      <c r="O7" s="18">
        <f>IF(AND(O$4&gt;=$C7,O$4&lt;=$D7),1,"")</f>
        <v/>
      </c>
      <c r="P7" s="18">
        <f>IF(AND(P$4&gt;=$C7,P$4&lt;=$D7),1,"")</f>
        <v/>
      </c>
      <c r="Q7" s="18">
        <f>IF(AND(Q$4&gt;=$C7,Q$4&lt;=$D7),1,"")</f>
        <v/>
      </c>
      <c r="R7" s="18">
        <f>IF(AND(R$4&gt;=$C7,R$4&lt;=$D7),1,"")</f>
        <v/>
      </c>
      <c r="S7" s="18">
        <f>IF(AND(S$4&gt;=$C7,S$4&lt;=$D7),1,"")</f>
        <v/>
      </c>
    </row>
    <row r="8" spans="1:19">
      <c r="A8" s="15">
        <f>'개발일정표'!A9</f>
        <v>4</v>
      </c>
      <c r="B8" s="16" t="str">
        <f>'개발일정표'!C9</f>
        <v>멀티스레드 서버 (Accept·세션·송신 스레드, 로그)</v>
      </c>
      <c r="C8" s="17">
        <f>'개발일정표'!F9</f>
        <v>46322</v>
      </c>
      <c r="D8" s="17">
        <f>'개발일정표'!G9</f>
        <v>46323</v>
      </c>
      <c r="E8" s="15" t="str">
        <f>'개발일정표'!J9</f>
        <v>완료</v>
      </c>
      <c r="F8" s="18">
        <f>IF(AND(F$4&gt;=$C8,F$4&lt;=$D8),1,"")</f>
        <v>1</v>
      </c>
      <c r="G8" s="18">
        <f>IF(AND(G$4&gt;=$C8,G$4&lt;=$D8),1,"")</f>
        <v>1</v>
      </c>
      <c r="H8" s="18">
        <f>IF(AND(H$4&gt;=$C8,H$4&lt;=$D8),1,"")</f>
        <v/>
      </c>
      <c r="I8" s="18">
        <f>IF(AND(I$4&gt;=$C8,I$4&lt;=$D8),1,"")</f>
        <v/>
      </c>
      <c r="J8" s="18">
        <f>IF(AND(J$4&gt;=$C8,J$4&lt;=$D8),1,"")</f>
        <v/>
      </c>
      <c r="K8" s="18">
        <f>IF(AND(K$4&gt;=$C8,K$4&lt;=$D8),1,"")</f>
        <v/>
      </c>
      <c r="L8" s="18">
        <f>IF(AND(L$4&gt;=$C8,L$4&lt;=$D8),1,"")</f>
        <v/>
      </c>
      <c r="M8" s="18">
        <f>IF(AND(M$4&gt;=$C8,M$4&lt;=$D8),1,"")</f>
        <v/>
      </c>
      <c r="N8" s="18">
        <f>IF(AND(N$4&gt;=$C8,N$4&lt;=$D8),1,"")</f>
        <v/>
      </c>
      <c r="O8" s="18">
        <f>IF(AND(O$4&gt;=$C8,O$4&lt;=$D8),1,"")</f>
        <v/>
      </c>
      <c r="P8" s="18">
        <f>IF(AND(P$4&gt;=$C8,P$4&lt;=$D8),1,"")</f>
        <v/>
      </c>
      <c r="Q8" s="18">
        <f>IF(AND(Q$4&gt;=$C8,Q$4&lt;=$D8),1,"")</f>
        <v/>
      </c>
      <c r="R8" s="18">
        <f>IF(AND(R$4&gt;=$C8,R$4&lt;=$D8),1,"")</f>
        <v/>
      </c>
      <c r="S8" s="18">
        <f>IF(AND(S$4&gt;=$C8,S$4&lt;=$D8),1,"")</f>
        <v/>
      </c>
    </row>
    <row r="9" spans="1:19">
      <c r="A9" s="15">
        <f>'개발일정표'!A10</f>
        <v>5</v>
      </c>
      <c r="B9" s="16" t="str">
        <f>'개발일정표'!C10</f>
        <v>하트비트·세션 관리·예외 격리</v>
      </c>
      <c r="C9" s="17">
        <f>'개발일정표'!F10</f>
        <v>46322</v>
      </c>
      <c r="D9" s="17">
        <f>'개발일정표'!G10</f>
        <v>46323</v>
      </c>
      <c r="E9" s="15" t="str">
        <f>'개발일정표'!J10</f>
        <v>완료</v>
      </c>
      <c r="F9" s="18">
        <f>IF(AND(F$4&gt;=$C9,F$4&lt;=$D9),1,"")</f>
        <v>1</v>
      </c>
      <c r="G9" s="18">
        <f>IF(AND(G$4&gt;=$C9,G$4&lt;=$D9),1,"")</f>
        <v>1</v>
      </c>
      <c r="H9" s="18">
        <f>IF(AND(H$4&gt;=$C9,H$4&lt;=$D9),1,"")</f>
        <v/>
      </c>
      <c r="I9" s="18">
        <f>IF(AND(I$4&gt;=$C9,I$4&lt;=$D9),1,"")</f>
        <v/>
      </c>
      <c r="J9" s="18">
        <f>IF(AND(J$4&gt;=$C9,J$4&lt;=$D9),1,"")</f>
        <v/>
      </c>
      <c r="K9" s="18">
        <f>IF(AND(K$4&gt;=$C9,K$4&lt;=$D9),1,"")</f>
        <v/>
      </c>
      <c r="L9" s="18">
        <f>IF(AND(L$4&gt;=$C9,L$4&lt;=$D9),1,"")</f>
        <v/>
      </c>
      <c r="M9" s="18">
        <f>IF(AND(M$4&gt;=$C9,M$4&lt;=$D9),1,"")</f>
        <v/>
      </c>
      <c r="N9" s="18">
        <f>IF(AND(N$4&gt;=$C9,N$4&lt;=$D9),1,"")</f>
        <v/>
      </c>
      <c r="O9" s="18">
        <f>IF(AND(O$4&gt;=$C9,O$4&lt;=$D9),1,"")</f>
        <v/>
      </c>
      <c r="P9" s="18">
        <f>IF(AND(P$4&gt;=$C9,P$4&lt;=$D9),1,"")</f>
        <v/>
      </c>
      <c r="Q9" s="18">
        <f>IF(AND(Q$4&gt;=$C9,Q$4&lt;=$D9),1,"")</f>
        <v/>
      </c>
      <c r="R9" s="18">
        <f>IF(AND(R$4&gt;=$C9,R$4&lt;=$D9),1,"")</f>
        <v/>
      </c>
      <c r="S9" s="18">
        <f>IF(AND(S$4&gt;=$C9,S$4&lt;=$D9),1,"")</f>
        <v/>
      </c>
    </row>
    <row r="10" spans="1:19">
      <c r="A10" s="15">
        <f>'개발일정표'!A11</f>
        <v>6</v>
      </c>
      <c r="B10" s="16" t="str">
        <f>'개발일정표'!C11</f>
        <v>WinForms 클라이언트 (로그인·메인 창·대화창)</v>
      </c>
      <c r="C10" s="17">
        <f>'개발일정표'!F11</f>
        <v>46322</v>
      </c>
      <c r="D10" s="17">
        <f>'개발일정표'!G11</f>
        <v>46323</v>
      </c>
      <c r="E10" s="15" t="str">
        <f>'개발일정표'!J11</f>
        <v>완료</v>
      </c>
      <c r="F10" s="18">
        <f>IF(AND(F$4&gt;=$C10,F$4&lt;=$D10),1,"")</f>
        <v>1</v>
      </c>
      <c r="G10" s="18">
        <f>IF(AND(G$4&gt;=$C10,G$4&lt;=$D10),1,"")</f>
        <v>1</v>
      </c>
      <c r="H10" s="18">
        <f>IF(AND(H$4&gt;=$C10,H$4&lt;=$D10),1,"")</f>
        <v/>
      </c>
      <c r="I10" s="18">
        <f>IF(AND(I$4&gt;=$C10,I$4&lt;=$D10),1,"")</f>
        <v/>
      </c>
      <c r="J10" s="18">
        <f>IF(AND(J$4&gt;=$C10,J$4&lt;=$D10),1,"")</f>
        <v/>
      </c>
      <c r="K10" s="18">
        <f>IF(AND(K$4&gt;=$C10,K$4&lt;=$D10),1,"")</f>
        <v/>
      </c>
      <c r="L10" s="18">
        <f>IF(AND(L$4&gt;=$C10,L$4&lt;=$D10),1,"")</f>
        <v/>
      </c>
      <c r="M10" s="18">
        <f>IF(AND(M$4&gt;=$C10,M$4&lt;=$D10),1,"")</f>
        <v/>
      </c>
      <c r="N10" s="18">
        <f>IF(AND(N$4&gt;=$C10,N$4&lt;=$D10),1,"")</f>
        <v/>
      </c>
      <c r="O10" s="18">
        <f>IF(AND(O$4&gt;=$C10,O$4&lt;=$D10),1,"")</f>
        <v/>
      </c>
      <c r="P10" s="18">
        <f>IF(AND(P$4&gt;=$C10,P$4&lt;=$D10),1,"")</f>
        <v/>
      </c>
      <c r="Q10" s="18">
        <f>IF(AND(Q$4&gt;=$C10,Q$4&lt;=$D10),1,"")</f>
        <v/>
      </c>
      <c r="R10" s="18">
        <f>IF(AND(R$4&gt;=$C10,R$4&lt;=$D10),1,"")</f>
        <v/>
      </c>
      <c r="S10" s="18">
        <f>IF(AND(S$4&gt;=$C10,S$4&lt;=$D10),1,"")</f>
        <v/>
      </c>
    </row>
    <row r="11" spans="1:19">
      <c r="A11" s="15">
        <f>'개발일정표'!A12</f>
        <v>7</v>
      </c>
      <c r="B11" s="16" t="str">
        <f>'개발일정표'!C12</f>
        <v>회원가입·로그인 (MariaDB·해시·5회 잠금·이메일 도메인)</v>
      </c>
      <c r="C11" s="17">
        <f>'개발일정표'!F12</f>
        <v>46322</v>
      </c>
      <c r="D11" s="17">
        <f>'개발일정표'!G12</f>
        <v>46323</v>
      </c>
      <c r="E11" s="15" t="str">
        <f>'개발일정표'!J12</f>
        <v>완료</v>
      </c>
      <c r="F11" s="18">
        <f>IF(AND(F$4&gt;=$C11,F$4&lt;=$D11),1,"")</f>
        <v>1</v>
      </c>
      <c r="G11" s="18">
        <f>IF(AND(G$4&gt;=$C11,G$4&lt;=$D11),1,"")</f>
        <v>1</v>
      </c>
      <c r="H11" s="18">
        <f>IF(AND(H$4&gt;=$C11,H$4&lt;=$D11),1,"")</f>
        <v/>
      </c>
      <c r="I11" s="18">
        <f>IF(AND(I$4&gt;=$C11,I$4&lt;=$D11),1,"")</f>
        <v/>
      </c>
      <c r="J11" s="18">
        <f>IF(AND(J$4&gt;=$C11,J$4&lt;=$D11),1,"")</f>
        <v/>
      </c>
      <c r="K11" s="18">
        <f>IF(AND(K$4&gt;=$C11,K$4&lt;=$D11),1,"")</f>
        <v/>
      </c>
      <c r="L11" s="18">
        <f>IF(AND(L$4&gt;=$C11,L$4&lt;=$D11),1,"")</f>
        <v/>
      </c>
      <c r="M11" s="18">
        <f>IF(AND(M$4&gt;=$C11,M$4&lt;=$D11),1,"")</f>
        <v/>
      </c>
      <c r="N11" s="18">
        <f>IF(AND(N$4&gt;=$C11,N$4&lt;=$D11),1,"")</f>
        <v/>
      </c>
      <c r="O11" s="18">
        <f>IF(AND(O$4&gt;=$C11,O$4&lt;=$D11),1,"")</f>
        <v/>
      </c>
      <c r="P11" s="18">
        <f>IF(AND(P$4&gt;=$C11,P$4&lt;=$D11),1,"")</f>
        <v/>
      </c>
      <c r="Q11" s="18">
        <f>IF(AND(Q$4&gt;=$C11,Q$4&lt;=$D11),1,"")</f>
        <v/>
      </c>
      <c r="R11" s="18">
        <f>IF(AND(R$4&gt;=$C11,R$4&lt;=$D11),1,"")</f>
        <v/>
      </c>
      <c r="S11" s="18">
        <f>IF(AND(S$4&gt;=$C11,S$4&lt;=$D11),1,"")</f>
        <v/>
      </c>
    </row>
    <row r="12" spans="1:19">
      <c r="A12" s="15">
        <f>'개발일정표'!A13</f>
        <v>8</v>
      </c>
      <c r="B12" s="16" t="str">
        <f>'개발일정표'!C13</f>
        <v>채팅방 (만들기·입장·퇴장)·대화 기록 저장</v>
      </c>
      <c r="C12" s="17">
        <f>'개발일정표'!F13</f>
        <v>46322</v>
      </c>
      <c r="D12" s="17">
        <f>'개발일정표'!G13</f>
        <v>46323</v>
      </c>
      <c r="E12" s="15" t="str">
        <f>'개발일정표'!J13</f>
        <v>완료</v>
      </c>
      <c r="F12" s="18">
        <f>IF(AND(F$4&gt;=$C12,F$4&lt;=$D12),1,"")</f>
        <v>1</v>
      </c>
      <c r="G12" s="18">
        <f>IF(AND(G$4&gt;=$C12,G$4&lt;=$D12),1,"")</f>
        <v>1</v>
      </c>
      <c r="H12" s="18">
        <f>IF(AND(H$4&gt;=$C12,H$4&lt;=$D12),1,"")</f>
        <v/>
      </c>
      <c r="I12" s="18">
        <f>IF(AND(I$4&gt;=$C12,I$4&lt;=$D12),1,"")</f>
        <v/>
      </c>
      <c r="J12" s="18">
        <f>IF(AND(J$4&gt;=$C12,J$4&lt;=$D12),1,"")</f>
        <v/>
      </c>
      <c r="K12" s="18">
        <f>IF(AND(K$4&gt;=$C12,K$4&lt;=$D12),1,"")</f>
        <v/>
      </c>
      <c r="L12" s="18">
        <f>IF(AND(L$4&gt;=$C12,L$4&lt;=$D12),1,"")</f>
        <v/>
      </c>
      <c r="M12" s="18">
        <f>IF(AND(M$4&gt;=$C12,M$4&lt;=$D12),1,"")</f>
        <v/>
      </c>
      <c r="N12" s="18">
        <f>IF(AND(N$4&gt;=$C12,N$4&lt;=$D12),1,"")</f>
        <v/>
      </c>
      <c r="O12" s="18">
        <f>IF(AND(O$4&gt;=$C12,O$4&lt;=$D12),1,"")</f>
        <v/>
      </c>
      <c r="P12" s="18">
        <f>IF(AND(P$4&gt;=$C12,P$4&lt;=$D12),1,"")</f>
        <v/>
      </c>
      <c r="Q12" s="18">
        <f>IF(AND(Q$4&gt;=$C12,Q$4&lt;=$D12),1,"")</f>
        <v/>
      </c>
      <c r="R12" s="18">
        <f>IF(AND(R$4&gt;=$C12,R$4&lt;=$D12),1,"")</f>
        <v/>
      </c>
      <c r="S12" s="18">
        <f>IF(AND(S$4&gt;=$C12,S$4&lt;=$D12),1,"")</f>
        <v/>
      </c>
    </row>
    <row r="13" spans="1:19">
      <c r="A13" s="15">
        <f>'개발일정표'!A14</f>
        <v>9</v>
      </c>
      <c r="B13" s="16" t="str">
        <f>'개발일정표'!C14</f>
        <v>파일 전송 (256KB 조각·진행률·3GB)</v>
      </c>
      <c r="C13" s="17">
        <f>'개발일정표'!F14</f>
        <v>46322</v>
      </c>
      <c r="D13" s="17">
        <f>'개발일정표'!G14</f>
        <v>46323</v>
      </c>
      <c r="E13" s="15" t="str">
        <f>'개발일정표'!J14</f>
        <v>완료</v>
      </c>
      <c r="F13" s="18">
        <f>IF(AND(F$4&gt;=$C13,F$4&lt;=$D13),1,"")</f>
        <v>1</v>
      </c>
      <c r="G13" s="18">
        <f>IF(AND(G$4&gt;=$C13,G$4&lt;=$D13),1,"")</f>
        <v>1</v>
      </c>
      <c r="H13" s="18">
        <f>IF(AND(H$4&gt;=$C13,H$4&lt;=$D13),1,"")</f>
        <v/>
      </c>
      <c r="I13" s="18">
        <f>IF(AND(I$4&gt;=$C13,I$4&lt;=$D13),1,"")</f>
        <v/>
      </c>
      <c r="J13" s="18">
        <f>IF(AND(J$4&gt;=$C13,J$4&lt;=$D13),1,"")</f>
        <v/>
      </c>
      <c r="K13" s="18">
        <f>IF(AND(K$4&gt;=$C13,K$4&lt;=$D13),1,"")</f>
        <v/>
      </c>
      <c r="L13" s="18">
        <f>IF(AND(L$4&gt;=$C13,L$4&lt;=$D13),1,"")</f>
        <v/>
      </c>
      <c r="M13" s="18">
        <f>IF(AND(M$4&gt;=$C13,M$4&lt;=$D13),1,"")</f>
        <v/>
      </c>
      <c r="N13" s="18">
        <f>IF(AND(N$4&gt;=$C13,N$4&lt;=$D13),1,"")</f>
        <v/>
      </c>
      <c r="O13" s="18">
        <f>IF(AND(O$4&gt;=$C13,O$4&lt;=$D13),1,"")</f>
        <v/>
      </c>
      <c r="P13" s="18">
        <f>IF(AND(P$4&gt;=$C13,P$4&lt;=$D13),1,"")</f>
        <v/>
      </c>
      <c r="Q13" s="18">
        <f>IF(AND(Q$4&gt;=$C13,Q$4&lt;=$D13),1,"")</f>
        <v/>
      </c>
      <c r="R13" s="18">
        <f>IF(AND(R$4&gt;=$C13,R$4&lt;=$D13),1,"")</f>
        <v/>
      </c>
      <c r="S13" s="18">
        <f>IF(AND(S$4&gt;=$C13,S$4&lt;=$D13),1,"")</f>
        <v/>
      </c>
    </row>
    <row r="14" spans="1:19">
      <c r="A14" s="15">
        <f>'개발일정표'!A15</f>
        <v>10</v>
      </c>
      <c r="B14" s="16" t="str">
        <f>'개발일정표'!C15</f>
        <v>TLS 암호화 (자체 서명 인증서·지문 고정)</v>
      </c>
      <c r="C14" s="17">
        <f>'개발일정표'!F15</f>
        <v>46323</v>
      </c>
      <c r="D14" s="17">
        <f>'개발일정표'!G15</f>
        <v>46323</v>
      </c>
      <c r="E14" s="15" t="str">
        <f>'개발일정표'!J15</f>
        <v>완료</v>
      </c>
      <c r="F14" s="18">
        <f>IF(AND(F$4&gt;=$C14,F$4&lt;=$D14),1,"")</f>
        <v/>
      </c>
      <c r="G14" s="18">
        <f>IF(AND(G$4&gt;=$C14,G$4&lt;=$D14),1,"")</f>
        <v>1</v>
      </c>
      <c r="H14" s="18">
        <f>IF(AND(H$4&gt;=$C14,H$4&lt;=$D14),1,"")</f>
        <v/>
      </c>
      <c r="I14" s="18">
        <f>IF(AND(I$4&gt;=$C14,I$4&lt;=$D14),1,"")</f>
        <v/>
      </c>
      <c r="J14" s="18">
        <f>IF(AND(J$4&gt;=$C14,J$4&lt;=$D14),1,"")</f>
        <v/>
      </c>
      <c r="K14" s="18">
        <f>IF(AND(K$4&gt;=$C14,K$4&lt;=$D14),1,"")</f>
        <v/>
      </c>
      <c r="L14" s="18">
        <f>IF(AND(L$4&gt;=$C14,L$4&lt;=$D14),1,"")</f>
        <v/>
      </c>
      <c r="M14" s="18">
        <f>IF(AND(M$4&gt;=$C14,M$4&lt;=$D14),1,"")</f>
        <v/>
      </c>
      <c r="N14" s="18">
        <f>IF(AND(N$4&gt;=$C14,N$4&lt;=$D14),1,"")</f>
        <v/>
      </c>
      <c r="O14" s="18">
        <f>IF(AND(O$4&gt;=$C14,O$4&lt;=$D14),1,"")</f>
        <v/>
      </c>
      <c r="P14" s="18">
        <f>IF(AND(P$4&gt;=$C14,P$4&lt;=$D14),1,"")</f>
        <v/>
      </c>
      <c r="Q14" s="18">
        <f>IF(AND(Q$4&gt;=$C14,Q$4&lt;=$D14),1,"")</f>
        <v/>
      </c>
      <c r="R14" s="18">
        <f>IF(AND(R$4&gt;=$C14,R$4&lt;=$D14),1,"")</f>
        <v/>
      </c>
      <c r="S14" s="18">
        <f>IF(AND(S$4&gt;=$C14,S$4&lt;=$D14),1,"")</f>
        <v/>
      </c>
    </row>
    <row r="15" spans="1:19">
      <c r="A15" s="15">
        <f>'개발일정표'!A16</f>
        <v>11</v>
      </c>
      <c r="B15" s="16" t="str">
        <f>'개발일정표'!C16</f>
        <v>관리자 기능·감사 로그</v>
      </c>
      <c r="C15" s="17">
        <f>'개발일정표'!F16</f>
        <v>46323</v>
      </c>
      <c r="D15" s="17">
        <f>'개발일정표'!G16</f>
        <v>46323</v>
      </c>
      <c r="E15" s="15" t="str">
        <f>'개발일정표'!J16</f>
        <v>완료</v>
      </c>
      <c r="F15" s="18">
        <f>IF(AND(F$4&gt;=$C15,F$4&lt;=$D15),1,"")</f>
        <v/>
      </c>
      <c r="G15" s="18">
        <f>IF(AND(G$4&gt;=$C15,G$4&lt;=$D15),1,"")</f>
        <v>1</v>
      </c>
      <c r="H15" s="18">
        <f>IF(AND(H$4&gt;=$C15,H$4&lt;=$D15),1,"")</f>
        <v/>
      </c>
      <c r="I15" s="18">
        <f>IF(AND(I$4&gt;=$C15,I$4&lt;=$D15),1,"")</f>
        <v/>
      </c>
      <c r="J15" s="18">
        <f>IF(AND(J$4&gt;=$C15,J$4&lt;=$D15),1,"")</f>
        <v/>
      </c>
      <c r="K15" s="18">
        <f>IF(AND(K$4&gt;=$C15,K$4&lt;=$D15),1,"")</f>
        <v/>
      </c>
      <c r="L15" s="18">
        <f>IF(AND(L$4&gt;=$C15,L$4&lt;=$D15),1,"")</f>
        <v/>
      </c>
      <c r="M15" s="18">
        <f>IF(AND(M$4&gt;=$C15,M$4&lt;=$D15),1,"")</f>
        <v/>
      </c>
      <c r="N15" s="18">
        <f>IF(AND(N$4&gt;=$C15,N$4&lt;=$D15),1,"")</f>
        <v/>
      </c>
      <c r="O15" s="18">
        <f>IF(AND(O$4&gt;=$C15,O$4&lt;=$D15),1,"")</f>
        <v/>
      </c>
      <c r="P15" s="18">
        <f>IF(AND(P$4&gt;=$C15,P$4&lt;=$D15),1,"")</f>
        <v/>
      </c>
      <c r="Q15" s="18">
        <f>IF(AND(Q$4&gt;=$C15,Q$4&lt;=$D15),1,"")</f>
        <v/>
      </c>
      <c r="R15" s="18">
        <f>IF(AND(R$4&gt;=$C15,R$4&lt;=$D15),1,"")</f>
        <v/>
      </c>
      <c r="S15" s="18">
        <f>IF(AND(S$4&gt;=$C15,S$4&lt;=$D15),1,"")</f>
        <v/>
      </c>
    </row>
    <row r="16" spans="1:19">
      <c r="A16" s="15">
        <f>'개발일정표'!A17</f>
        <v>12</v>
      </c>
      <c r="B16" s="16" t="str">
        <f>'개발일정표'!C17</f>
        <v>CI 빌드 (GitHub Actions) 수정</v>
      </c>
      <c r="C16" s="17">
        <f>'개발일정표'!F17</f>
        <v>46323</v>
      </c>
      <c r="D16" s="17">
        <f>'개발일정표'!G17</f>
        <v>46323</v>
      </c>
      <c r="E16" s="15" t="str">
        <f>'개발일정표'!J17</f>
        <v>완료</v>
      </c>
      <c r="F16" s="18">
        <f>IF(AND(F$4&gt;=$C16,F$4&lt;=$D16),1,"")</f>
        <v/>
      </c>
      <c r="G16" s="18">
        <f>IF(AND(G$4&gt;=$C16,G$4&lt;=$D16),1,"")</f>
        <v>1</v>
      </c>
      <c r="H16" s="18">
        <f>IF(AND(H$4&gt;=$C16,H$4&lt;=$D16),1,"")</f>
        <v/>
      </c>
      <c r="I16" s="18">
        <f>IF(AND(I$4&gt;=$C16,I$4&lt;=$D16),1,"")</f>
        <v/>
      </c>
      <c r="J16" s="18">
        <f>IF(AND(J$4&gt;=$C16,J$4&lt;=$D16),1,"")</f>
        <v/>
      </c>
      <c r="K16" s="18">
        <f>IF(AND(K$4&gt;=$C16,K$4&lt;=$D16),1,"")</f>
        <v/>
      </c>
      <c r="L16" s="18">
        <f>IF(AND(L$4&gt;=$C16,L$4&lt;=$D16),1,"")</f>
        <v/>
      </c>
      <c r="M16" s="18">
        <f>IF(AND(M$4&gt;=$C16,M$4&lt;=$D16),1,"")</f>
        <v/>
      </c>
      <c r="N16" s="18">
        <f>IF(AND(N$4&gt;=$C16,N$4&lt;=$D16),1,"")</f>
        <v/>
      </c>
      <c r="O16" s="18">
        <f>IF(AND(O$4&gt;=$C16,O$4&lt;=$D16),1,"")</f>
        <v/>
      </c>
      <c r="P16" s="18">
        <f>IF(AND(P$4&gt;=$C16,P$4&lt;=$D16),1,"")</f>
        <v/>
      </c>
      <c r="Q16" s="18">
        <f>IF(AND(Q$4&gt;=$C16,Q$4&lt;=$D16),1,"")</f>
        <v/>
      </c>
      <c r="R16" s="18">
        <f>IF(AND(R$4&gt;=$C16,R$4&lt;=$D16),1,"")</f>
        <v/>
      </c>
      <c r="S16" s="18">
        <f>IF(AND(S$4&gt;=$C16,S$4&lt;=$D16),1,"")</f>
        <v/>
      </c>
    </row>
    <row r="17" spans="1:19">
      <c r="A17" s="15">
        <f>'개발일정표'!A18</f>
        <v>13</v>
      </c>
      <c r="B17" s="16" t="str">
        <f>'개발일정표'!C18</f>
        <v>방 초대 전체 선택·창 밖 클릭으로 나가기</v>
      </c>
      <c r="C17" s="17">
        <f>'개발일정표'!F18</f>
        <v>46324</v>
      </c>
      <c r="D17" s="17">
        <f>'개발일정표'!G18</f>
        <v>46324</v>
      </c>
      <c r="E17" s="15" t="str">
        <f>'개발일정표'!J18</f>
        <v>완료</v>
      </c>
      <c r="F17" s="18">
        <f>IF(AND(F$4&gt;=$C17,F$4&lt;=$D17),1,"")</f>
        <v/>
      </c>
      <c r="G17" s="18">
        <f>IF(AND(G$4&gt;=$C17,G$4&lt;=$D17),1,"")</f>
        <v/>
      </c>
      <c r="H17" s="18">
        <f>IF(AND(H$4&gt;=$C17,H$4&lt;=$D17),1,"")</f>
        <v>1</v>
      </c>
      <c r="I17" s="18">
        <f>IF(AND(I$4&gt;=$C17,I$4&lt;=$D17),1,"")</f>
        <v/>
      </c>
      <c r="J17" s="18">
        <f>IF(AND(J$4&gt;=$C17,J$4&lt;=$D17),1,"")</f>
        <v/>
      </c>
      <c r="K17" s="18">
        <f>IF(AND(K$4&gt;=$C17,K$4&lt;=$D17),1,"")</f>
        <v/>
      </c>
      <c r="L17" s="18">
        <f>IF(AND(L$4&gt;=$C17,L$4&lt;=$D17),1,"")</f>
        <v/>
      </c>
      <c r="M17" s="18">
        <f>IF(AND(M$4&gt;=$C17,M$4&lt;=$D17),1,"")</f>
        <v/>
      </c>
      <c r="N17" s="18">
        <f>IF(AND(N$4&gt;=$C17,N$4&lt;=$D17),1,"")</f>
        <v/>
      </c>
      <c r="O17" s="18">
        <f>IF(AND(O$4&gt;=$C17,O$4&lt;=$D17),1,"")</f>
        <v/>
      </c>
      <c r="P17" s="18">
        <f>IF(AND(P$4&gt;=$C17,P$4&lt;=$D17),1,"")</f>
        <v/>
      </c>
      <c r="Q17" s="18">
        <f>IF(AND(Q$4&gt;=$C17,Q$4&lt;=$D17),1,"")</f>
        <v/>
      </c>
      <c r="R17" s="18">
        <f>IF(AND(R$4&gt;=$C17,R$4&lt;=$D17),1,"")</f>
        <v/>
      </c>
      <c r="S17" s="18">
        <f>IF(AND(S$4&gt;=$C17,S$4&lt;=$D17),1,"")</f>
        <v/>
      </c>
    </row>
    <row r="18" spans="1:19">
      <c r="A18" s="15">
        <f>'개발일정표'!A19</f>
        <v>14</v>
      </c>
      <c r="B18" s="16" t="str">
        <f>'개발일정표'!C19</f>
        <v>파일 업로드 용량 표시</v>
      </c>
      <c r="C18" s="17">
        <f>'개발일정표'!F19</f>
        <v>46324</v>
      </c>
      <c r="D18" s="17">
        <f>'개발일정표'!G19</f>
        <v>46324</v>
      </c>
      <c r="E18" s="15" t="str">
        <f>'개발일정표'!J19</f>
        <v>완료</v>
      </c>
      <c r="F18" s="18">
        <f>IF(AND(F$4&gt;=$C18,F$4&lt;=$D18),1,"")</f>
        <v/>
      </c>
      <c r="G18" s="18">
        <f>IF(AND(G$4&gt;=$C18,G$4&lt;=$D18),1,"")</f>
        <v/>
      </c>
      <c r="H18" s="18">
        <f>IF(AND(H$4&gt;=$C18,H$4&lt;=$D18),1,"")</f>
        <v>1</v>
      </c>
      <c r="I18" s="18">
        <f>IF(AND(I$4&gt;=$C18,I$4&lt;=$D18),1,"")</f>
        <v/>
      </c>
      <c r="J18" s="18">
        <f>IF(AND(J$4&gt;=$C18,J$4&lt;=$D18),1,"")</f>
        <v/>
      </c>
      <c r="K18" s="18">
        <f>IF(AND(K$4&gt;=$C18,K$4&lt;=$D18),1,"")</f>
        <v/>
      </c>
      <c r="L18" s="18">
        <f>IF(AND(L$4&gt;=$C18,L$4&lt;=$D18),1,"")</f>
        <v/>
      </c>
      <c r="M18" s="18">
        <f>IF(AND(M$4&gt;=$C18,M$4&lt;=$D18),1,"")</f>
        <v/>
      </c>
      <c r="N18" s="18">
        <f>IF(AND(N$4&gt;=$C18,N$4&lt;=$D18),1,"")</f>
        <v/>
      </c>
      <c r="O18" s="18">
        <f>IF(AND(O$4&gt;=$C18,O$4&lt;=$D18),1,"")</f>
        <v/>
      </c>
      <c r="P18" s="18">
        <f>IF(AND(P$4&gt;=$C18,P$4&lt;=$D18),1,"")</f>
        <v/>
      </c>
      <c r="Q18" s="18">
        <f>IF(AND(Q$4&gt;=$C18,Q$4&lt;=$D18),1,"")</f>
        <v/>
      </c>
      <c r="R18" s="18">
        <f>IF(AND(R$4&gt;=$C18,R$4&lt;=$D18),1,"")</f>
        <v/>
      </c>
      <c r="S18" s="18">
        <f>IF(AND(S$4&gt;=$C18,S$4&lt;=$D18),1,"")</f>
        <v/>
      </c>
    </row>
    <row r="19" spans="1:19">
      <c r="A19" s="15">
        <f>'개발일정표'!A20</f>
        <v>15</v>
      </c>
      <c r="B19" s="16" t="str">
        <f>'개발일정표'!C20</f>
        <v>메시지 기능 (답장·공감·삭제·수정·읽음·검색)</v>
      </c>
      <c r="C19" s="17">
        <f>'개발일정표'!F20</f>
        <v>46323</v>
      </c>
      <c r="D19" s="17">
        <f>'개발일정표'!G20</f>
        <v>46324</v>
      </c>
      <c r="E19" s="15" t="str">
        <f>'개발일정표'!J20</f>
        <v>완료</v>
      </c>
      <c r="F19" s="18">
        <f>IF(AND(F$4&gt;=$C19,F$4&lt;=$D19),1,"")</f>
        <v/>
      </c>
      <c r="G19" s="18">
        <f>IF(AND(G$4&gt;=$C19,G$4&lt;=$D19),1,"")</f>
        <v>1</v>
      </c>
      <c r="H19" s="18">
        <f>IF(AND(H$4&gt;=$C19,H$4&lt;=$D19),1,"")</f>
        <v>1</v>
      </c>
      <c r="I19" s="18">
        <f>IF(AND(I$4&gt;=$C19,I$4&lt;=$D19),1,"")</f>
        <v/>
      </c>
      <c r="J19" s="18">
        <f>IF(AND(J$4&gt;=$C19,J$4&lt;=$D19),1,"")</f>
        <v/>
      </c>
      <c r="K19" s="18">
        <f>IF(AND(K$4&gt;=$C19,K$4&lt;=$D19),1,"")</f>
        <v/>
      </c>
      <c r="L19" s="18">
        <f>IF(AND(L$4&gt;=$C19,L$4&lt;=$D19),1,"")</f>
        <v/>
      </c>
      <c r="M19" s="18">
        <f>IF(AND(M$4&gt;=$C19,M$4&lt;=$D19),1,"")</f>
        <v/>
      </c>
      <c r="N19" s="18">
        <f>IF(AND(N$4&gt;=$C19,N$4&lt;=$D19),1,"")</f>
        <v/>
      </c>
      <c r="O19" s="18">
        <f>IF(AND(O$4&gt;=$C19,O$4&lt;=$D19),1,"")</f>
        <v/>
      </c>
      <c r="P19" s="18">
        <f>IF(AND(P$4&gt;=$C19,P$4&lt;=$D19),1,"")</f>
        <v/>
      </c>
      <c r="Q19" s="18">
        <f>IF(AND(Q$4&gt;=$C19,Q$4&lt;=$D19),1,"")</f>
        <v/>
      </c>
      <c r="R19" s="18">
        <f>IF(AND(R$4&gt;=$C19,R$4&lt;=$D19),1,"")</f>
        <v/>
      </c>
      <c r="S19" s="18">
        <f>IF(AND(S$4&gt;=$C19,S$4&lt;=$D19),1,"")</f>
        <v/>
      </c>
    </row>
    <row r="20" spans="1:19">
      <c r="A20" s="15">
        <f>'개발일정표'!A21</f>
        <v>16</v>
      </c>
      <c r="B20" s="16" t="str">
        <f>'개발일정표'!C21</f>
        <v>파일 받기 대기열·전송 취소</v>
      </c>
      <c r="C20" s="17">
        <f>'개발일정표'!F21</f>
        <v>46324</v>
      </c>
      <c r="D20" s="17">
        <f>'개발일정표'!G21</f>
        <v>46324</v>
      </c>
      <c r="E20" s="15" t="str">
        <f>'개발일정표'!J21</f>
        <v>완료</v>
      </c>
      <c r="F20" s="18">
        <f>IF(AND(F$4&gt;=$C20,F$4&lt;=$D20),1,"")</f>
        <v/>
      </c>
      <c r="G20" s="18">
        <f>IF(AND(G$4&gt;=$C20,G$4&lt;=$D20),1,"")</f>
        <v/>
      </c>
      <c r="H20" s="18">
        <f>IF(AND(H$4&gt;=$C20,H$4&lt;=$D20),1,"")</f>
        <v>1</v>
      </c>
      <c r="I20" s="18">
        <f>IF(AND(I$4&gt;=$C20,I$4&lt;=$D20),1,"")</f>
        <v/>
      </c>
      <c r="J20" s="18">
        <f>IF(AND(J$4&gt;=$C20,J$4&lt;=$D20),1,"")</f>
        <v/>
      </c>
      <c r="K20" s="18">
        <f>IF(AND(K$4&gt;=$C20,K$4&lt;=$D20),1,"")</f>
        <v/>
      </c>
      <c r="L20" s="18">
        <f>IF(AND(L$4&gt;=$C20,L$4&lt;=$D20),1,"")</f>
        <v/>
      </c>
      <c r="M20" s="18">
        <f>IF(AND(M$4&gt;=$C20,M$4&lt;=$D20),1,"")</f>
        <v/>
      </c>
      <c r="N20" s="18">
        <f>IF(AND(N$4&gt;=$C20,N$4&lt;=$D20),1,"")</f>
        <v/>
      </c>
      <c r="O20" s="18">
        <f>IF(AND(O$4&gt;=$C20,O$4&lt;=$D20),1,"")</f>
        <v/>
      </c>
      <c r="P20" s="18">
        <f>IF(AND(P$4&gt;=$C20,P$4&lt;=$D20),1,"")</f>
        <v/>
      </c>
      <c r="Q20" s="18">
        <f>IF(AND(Q$4&gt;=$C20,Q$4&lt;=$D20),1,"")</f>
        <v/>
      </c>
      <c r="R20" s="18">
        <f>IF(AND(R$4&gt;=$C20,R$4&lt;=$D20),1,"")</f>
        <v/>
      </c>
      <c r="S20" s="18">
        <f>IF(AND(S$4&gt;=$C20,S$4&lt;=$D20),1,"")</f>
        <v/>
      </c>
    </row>
    <row r="21" spans="1:19">
      <c r="A21" s="15">
        <f>'개발일정표'!A22</f>
        <v>17</v>
      </c>
      <c r="B21" s="16" t="str">
        <f>'개발일정표'!C22</f>
        <v>관리자 통계 (카드·그래프·활발한 방·디스크)</v>
      </c>
      <c r="C21" s="17">
        <f>'개발일정표'!F22</f>
        <v>46324</v>
      </c>
      <c r="D21" s="17">
        <f>'개발일정표'!G22</f>
        <v>46324</v>
      </c>
      <c r="E21" s="15" t="str">
        <f>'개발일정표'!J22</f>
        <v>완료</v>
      </c>
      <c r="F21" s="18">
        <f>IF(AND(F$4&gt;=$C21,F$4&lt;=$D21),1,"")</f>
        <v/>
      </c>
      <c r="G21" s="18">
        <f>IF(AND(G$4&gt;=$C21,G$4&lt;=$D21),1,"")</f>
        <v/>
      </c>
      <c r="H21" s="18">
        <f>IF(AND(H$4&gt;=$C21,H$4&lt;=$D21),1,"")</f>
        <v>1</v>
      </c>
      <c r="I21" s="18">
        <f>IF(AND(I$4&gt;=$C21,I$4&lt;=$D21),1,"")</f>
        <v/>
      </c>
      <c r="J21" s="18">
        <f>IF(AND(J$4&gt;=$C21,J$4&lt;=$D21),1,"")</f>
        <v/>
      </c>
      <c r="K21" s="18">
        <f>IF(AND(K$4&gt;=$C21,K$4&lt;=$D21),1,"")</f>
        <v/>
      </c>
      <c r="L21" s="18">
        <f>IF(AND(L$4&gt;=$C21,L$4&lt;=$D21),1,"")</f>
        <v/>
      </c>
      <c r="M21" s="18">
        <f>IF(AND(M$4&gt;=$C21,M$4&lt;=$D21),1,"")</f>
        <v/>
      </c>
      <c r="N21" s="18">
        <f>IF(AND(N$4&gt;=$C21,N$4&lt;=$D21),1,"")</f>
        <v/>
      </c>
      <c r="O21" s="18">
        <f>IF(AND(O$4&gt;=$C21,O$4&lt;=$D21),1,"")</f>
        <v/>
      </c>
      <c r="P21" s="18">
        <f>IF(AND(P$4&gt;=$C21,P$4&lt;=$D21),1,"")</f>
        <v/>
      </c>
      <c r="Q21" s="18">
        <f>IF(AND(Q$4&gt;=$C21,Q$4&lt;=$D21),1,"")</f>
        <v/>
      </c>
      <c r="R21" s="18">
        <f>IF(AND(R$4&gt;=$C21,R$4&lt;=$D21),1,"")</f>
        <v/>
      </c>
      <c r="S21" s="18">
        <f>IF(AND(S$4&gt;=$C21,S$4&lt;=$D21),1,"")</f>
        <v/>
      </c>
    </row>
    <row r="22" spans="1:19">
      <c r="A22" s="15">
        <f>'개발일정표'!A23</f>
        <v>18</v>
      </c>
      <c r="B22" s="16" t="str">
        <f>'개발일정표'!C23</f>
        <v>방 정원 변경·기본 정원 1,000명</v>
      </c>
      <c r="C22" s="17">
        <f>'개발일정표'!F23</f>
        <v>46324</v>
      </c>
      <c r="D22" s="17">
        <f>'개발일정표'!G23</f>
        <v>46324</v>
      </c>
      <c r="E22" s="15" t="str">
        <f>'개발일정표'!J23</f>
        <v>완료</v>
      </c>
      <c r="F22" s="18">
        <f>IF(AND(F$4&gt;=$C22,F$4&lt;=$D22),1,"")</f>
        <v/>
      </c>
      <c r="G22" s="18">
        <f>IF(AND(G$4&gt;=$C22,G$4&lt;=$D22),1,"")</f>
        <v/>
      </c>
      <c r="H22" s="18">
        <f>IF(AND(H$4&gt;=$C22,H$4&lt;=$D22),1,"")</f>
        <v>1</v>
      </c>
      <c r="I22" s="18">
        <f>IF(AND(I$4&gt;=$C22,I$4&lt;=$D22),1,"")</f>
        <v/>
      </c>
      <c r="J22" s="18">
        <f>IF(AND(J$4&gt;=$C22,J$4&lt;=$D22),1,"")</f>
        <v/>
      </c>
      <c r="K22" s="18">
        <f>IF(AND(K$4&gt;=$C22,K$4&lt;=$D22),1,"")</f>
        <v/>
      </c>
      <c r="L22" s="18">
        <f>IF(AND(L$4&gt;=$C22,L$4&lt;=$D22),1,"")</f>
        <v/>
      </c>
      <c r="M22" s="18">
        <f>IF(AND(M$4&gt;=$C22,M$4&lt;=$D22),1,"")</f>
        <v/>
      </c>
      <c r="N22" s="18">
        <f>IF(AND(N$4&gt;=$C22,N$4&lt;=$D22),1,"")</f>
        <v/>
      </c>
      <c r="O22" s="18">
        <f>IF(AND(O$4&gt;=$C22,O$4&lt;=$D22),1,"")</f>
        <v/>
      </c>
      <c r="P22" s="18">
        <f>IF(AND(P$4&gt;=$C22,P$4&lt;=$D22),1,"")</f>
        <v/>
      </c>
      <c r="Q22" s="18">
        <f>IF(AND(Q$4&gt;=$C22,Q$4&lt;=$D22),1,"")</f>
        <v/>
      </c>
      <c r="R22" s="18">
        <f>IF(AND(R$4&gt;=$C22,R$4&lt;=$D22),1,"")</f>
        <v/>
      </c>
      <c r="S22" s="18">
        <f>IF(AND(S$4&gt;=$C22,S$4&lt;=$D22),1,"")</f>
        <v/>
      </c>
    </row>
    <row r="23" spans="1:19">
      <c r="A23" s="15">
        <f>'개발일정표'!A24</f>
        <v>19</v>
      </c>
      <c r="B23" s="16" t="str">
        <f>'개발일정표'!C24</f>
        <v>삭제·닫힌 방 파일 정리</v>
      </c>
      <c r="C23" s="17">
        <f>'개발일정표'!F24</f>
        <v>46324</v>
      </c>
      <c r="D23" s="17">
        <f>'개발일정표'!G24</f>
        <v>46324</v>
      </c>
      <c r="E23" s="15" t="str">
        <f>'개발일정표'!J24</f>
        <v>완료</v>
      </c>
      <c r="F23" s="18">
        <f>IF(AND(F$4&gt;=$C23,F$4&lt;=$D23),1,"")</f>
        <v/>
      </c>
      <c r="G23" s="18">
        <f>IF(AND(G$4&gt;=$C23,G$4&lt;=$D23),1,"")</f>
        <v/>
      </c>
      <c r="H23" s="18">
        <f>IF(AND(H$4&gt;=$C23,H$4&lt;=$D23),1,"")</f>
        <v>1</v>
      </c>
      <c r="I23" s="18">
        <f>IF(AND(I$4&gt;=$C23,I$4&lt;=$D23),1,"")</f>
        <v/>
      </c>
      <c r="J23" s="18">
        <f>IF(AND(J$4&gt;=$C23,J$4&lt;=$D23),1,"")</f>
        <v/>
      </c>
      <c r="K23" s="18">
        <f>IF(AND(K$4&gt;=$C23,K$4&lt;=$D23),1,"")</f>
        <v/>
      </c>
      <c r="L23" s="18">
        <f>IF(AND(L$4&gt;=$C23,L$4&lt;=$D23),1,"")</f>
        <v/>
      </c>
      <c r="M23" s="18">
        <f>IF(AND(M$4&gt;=$C23,M$4&lt;=$D23),1,"")</f>
        <v/>
      </c>
      <c r="N23" s="18">
        <f>IF(AND(N$4&gt;=$C23,N$4&lt;=$D23),1,"")</f>
        <v/>
      </c>
      <c r="O23" s="18">
        <f>IF(AND(O$4&gt;=$C23,O$4&lt;=$D23),1,"")</f>
        <v/>
      </c>
      <c r="P23" s="18">
        <f>IF(AND(P$4&gt;=$C23,P$4&lt;=$D23),1,"")</f>
        <v/>
      </c>
      <c r="Q23" s="18">
        <f>IF(AND(Q$4&gt;=$C23,Q$4&lt;=$D23),1,"")</f>
        <v/>
      </c>
      <c r="R23" s="18">
        <f>IF(AND(R$4&gt;=$C23,R$4&lt;=$D23),1,"")</f>
        <v/>
      </c>
      <c r="S23" s="18">
        <f>IF(AND(S$4&gt;=$C23,S$4&lt;=$D23),1,"")</f>
        <v/>
      </c>
    </row>
    <row r="24" spans="1:19">
      <c r="A24" s="15">
        <f>'개발일정표'!A25</f>
        <v>20</v>
      </c>
      <c r="B24" s="16" t="str">
        <f>'개발일정표'!C25</f>
        <v>서버 로그 시각을 서버 PC 시간(+시간대)으로</v>
      </c>
      <c r="C24" s="17">
        <f>'개발일정표'!F25</f>
        <v>46324</v>
      </c>
      <c r="D24" s="17">
        <f>'개발일정표'!G25</f>
        <v>46324</v>
      </c>
      <c r="E24" s="15" t="str">
        <f>'개발일정표'!J25</f>
        <v>완료</v>
      </c>
      <c r="F24" s="18">
        <f>IF(AND(F$4&gt;=$C24,F$4&lt;=$D24),1,"")</f>
        <v/>
      </c>
      <c r="G24" s="18">
        <f>IF(AND(G$4&gt;=$C24,G$4&lt;=$D24),1,"")</f>
        <v/>
      </c>
      <c r="H24" s="18">
        <f>IF(AND(H$4&gt;=$C24,H$4&lt;=$D24),1,"")</f>
        <v>1</v>
      </c>
      <c r="I24" s="18">
        <f>IF(AND(I$4&gt;=$C24,I$4&lt;=$D24),1,"")</f>
        <v/>
      </c>
      <c r="J24" s="18">
        <f>IF(AND(J$4&gt;=$C24,J$4&lt;=$D24),1,"")</f>
        <v/>
      </c>
      <c r="K24" s="18">
        <f>IF(AND(K$4&gt;=$C24,K$4&lt;=$D24),1,"")</f>
        <v/>
      </c>
      <c r="L24" s="18">
        <f>IF(AND(L$4&gt;=$C24,L$4&lt;=$D24),1,"")</f>
        <v/>
      </c>
      <c r="M24" s="18">
        <f>IF(AND(M$4&gt;=$C24,M$4&lt;=$D24),1,"")</f>
        <v/>
      </c>
      <c r="N24" s="18">
        <f>IF(AND(N$4&gt;=$C24,N$4&lt;=$D24),1,"")</f>
        <v/>
      </c>
      <c r="O24" s="18">
        <f>IF(AND(O$4&gt;=$C24,O$4&lt;=$D24),1,"")</f>
        <v/>
      </c>
      <c r="P24" s="18">
        <f>IF(AND(P$4&gt;=$C24,P$4&lt;=$D24),1,"")</f>
        <v/>
      </c>
      <c r="Q24" s="18">
        <f>IF(AND(Q$4&gt;=$C24,Q$4&lt;=$D24),1,"")</f>
        <v/>
      </c>
      <c r="R24" s="18">
        <f>IF(AND(R$4&gt;=$C24,R$4&lt;=$D24),1,"")</f>
        <v/>
      </c>
      <c r="S24" s="18">
        <f>IF(AND(S$4&gt;=$C24,S$4&lt;=$D24),1,"")</f>
        <v/>
      </c>
    </row>
    <row r="25" spans="1:19">
      <c r="A25" s="15">
        <f>'개발일정표'!A26</f>
        <v>21</v>
      </c>
      <c r="B25" s="16" t="str">
        <f>'개발일정표'!C26</f>
        <v>친구 추가 (아이디·휴대폰 번호)</v>
      </c>
      <c r="C25" s="17">
        <f>'개발일정표'!F26</f>
        <v>46324</v>
      </c>
      <c r="D25" s="17">
        <f>'개발일정표'!G26</f>
        <v>46324</v>
      </c>
      <c r="E25" s="15" t="str">
        <f>'개발일정표'!J26</f>
        <v>완료</v>
      </c>
      <c r="F25" s="18">
        <f>IF(AND(F$4&gt;=$C25,F$4&lt;=$D25),1,"")</f>
        <v/>
      </c>
      <c r="G25" s="18">
        <f>IF(AND(G$4&gt;=$C25,G$4&lt;=$D25),1,"")</f>
        <v/>
      </c>
      <c r="H25" s="18">
        <f>IF(AND(H$4&gt;=$C25,H$4&lt;=$D25),1,"")</f>
        <v>1</v>
      </c>
      <c r="I25" s="18">
        <f>IF(AND(I$4&gt;=$C25,I$4&lt;=$D25),1,"")</f>
        <v/>
      </c>
      <c r="J25" s="18">
        <f>IF(AND(J$4&gt;=$C25,J$4&lt;=$D25),1,"")</f>
        <v/>
      </c>
      <c r="K25" s="18">
        <f>IF(AND(K$4&gt;=$C25,K$4&lt;=$D25),1,"")</f>
        <v/>
      </c>
      <c r="L25" s="18">
        <f>IF(AND(L$4&gt;=$C25,L$4&lt;=$D25),1,"")</f>
        <v/>
      </c>
      <c r="M25" s="18">
        <f>IF(AND(M$4&gt;=$C25,M$4&lt;=$D25),1,"")</f>
        <v/>
      </c>
      <c r="N25" s="18">
        <f>IF(AND(N$4&gt;=$C25,N$4&lt;=$D25),1,"")</f>
        <v/>
      </c>
      <c r="O25" s="18">
        <f>IF(AND(O$4&gt;=$C25,O$4&lt;=$D25),1,"")</f>
        <v/>
      </c>
      <c r="P25" s="18">
        <f>IF(AND(P$4&gt;=$C25,P$4&lt;=$D25),1,"")</f>
        <v/>
      </c>
      <c r="Q25" s="18">
        <f>IF(AND(Q$4&gt;=$C25,Q$4&lt;=$D25),1,"")</f>
        <v/>
      </c>
      <c r="R25" s="18">
        <f>IF(AND(R$4&gt;=$C25,R$4&lt;=$D25),1,"")</f>
        <v/>
      </c>
      <c r="S25" s="18">
        <f>IF(AND(S$4&gt;=$C25,S$4&lt;=$D25),1,"")</f>
        <v/>
      </c>
    </row>
    <row r="26" spans="1:19">
      <c r="A26" s="15">
        <f>'개발일정표'!A27</f>
        <v>22</v>
      </c>
      <c r="B26" s="16" t="str">
        <f>'개발일정표'!C27</f>
        <v>프로필 사진·배경 사진·프로필 카드</v>
      </c>
      <c r="C26" s="17">
        <f>'개발일정표'!F27</f>
        <v>46324</v>
      </c>
      <c r="D26" s="17">
        <f>'개발일정표'!G27</f>
        <v>46324</v>
      </c>
      <c r="E26" s="15" t="str">
        <f>'개발일정표'!J27</f>
        <v>완료</v>
      </c>
      <c r="F26" s="18">
        <f>IF(AND(F$4&gt;=$C26,F$4&lt;=$D26),1,"")</f>
        <v/>
      </c>
      <c r="G26" s="18">
        <f>IF(AND(G$4&gt;=$C26,G$4&lt;=$D26),1,"")</f>
        <v/>
      </c>
      <c r="H26" s="18">
        <f>IF(AND(H$4&gt;=$C26,H$4&lt;=$D26),1,"")</f>
        <v>1</v>
      </c>
      <c r="I26" s="18">
        <f>IF(AND(I$4&gt;=$C26,I$4&lt;=$D26),1,"")</f>
        <v/>
      </c>
      <c r="J26" s="18">
        <f>IF(AND(J$4&gt;=$C26,J$4&lt;=$D26),1,"")</f>
        <v/>
      </c>
      <c r="K26" s="18">
        <f>IF(AND(K$4&gt;=$C26,K$4&lt;=$D26),1,"")</f>
        <v/>
      </c>
      <c r="L26" s="18">
        <f>IF(AND(L$4&gt;=$C26,L$4&lt;=$D26),1,"")</f>
        <v/>
      </c>
      <c r="M26" s="18">
        <f>IF(AND(M$4&gt;=$C26,M$4&lt;=$D26),1,"")</f>
        <v/>
      </c>
      <c r="N26" s="18">
        <f>IF(AND(N$4&gt;=$C26,N$4&lt;=$D26),1,"")</f>
        <v/>
      </c>
      <c r="O26" s="18">
        <f>IF(AND(O$4&gt;=$C26,O$4&lt;=$D26),1,"")</f>
        <v/>
      </c>
      <c r="P26" s="18">
        <f>IF(AND(P$4&gt;=$C26,P$4&lt;=$D26),1,"")</f>
        <v/>
      </c>
      <c r="Q26" s="18">
        <f>IF(AND(Q$4&gt;=$C26,Q$4&lt;=$D26),1,"")</f>
        <v/>
      </c>
      <c r="R26" s="18">
        <f>IF(AND(R$4&gt;=$C26,R$4&lt;=$D26),1,"")</f>
        <v/>
      </c>
      <c r="S26" s="18">
        <f>IF(AND(S$4&gt;=$C26,S$4&lt;=$D26),1,"")</f>
        <v/>
      </c>
    </row>
    <row r="27" spans="1:19">
      <c r="A27" s="15">
        <f>'개발일정표'!A28</f>
        <v>23</v>
      </c>
      <c r="B27" s="16" t="str">
        <f>'개발일정표'!C28</f>
        <v>Windows 서비스 안정화·설치 스크립트</v>
      </c>
      <c r="C27" s="17">
        <f>'개발일정표'!F28</f>
        <v>46324</v>
      </c>
      <c r="D27" s="17">
        <f>'개발일정표'!G28</f>
        <v>46324</v>
      </c>
      <c r="E27" s="15" t="str">
        <f>'개발일정표'!J28</f>
        <v>완료</v>
      </c>
      <c r="F27" s="18">
        <f>IF(AND(F$4&gt;=$C27,F$4&lt;=$D27),1,"")</f>
        <v/>
      </c>
      <c r="G27" s="18">
        <f>IF(AND(G$4&gt;=$C27,G$4&lt;=$D27),1,"")</f>
        <v/>
      </c>
      <c r="H27" s="18">
        <f>IF(AND(H$4&gt;=$C27,H$4&lt;=$D27),1,"")</f>
        <v>1</v>
      </c>
      <c r="I27" s="18">
        <f>IF(AND(I$4&gt;=$C27,I$4&lt;=$D27),1,"")</f>
        <v/>
      </c>
      <c r="J27" s="18">
        <f>IF(AND(J$4&gt;=$C27,J$4&lt;=$D27),1,"")</f>
        <v/>
      </c>
      <c r="K27" s="18">
        <f>IF(AND(K$4&gt;=$C27,K$4&lt;=$D27),1,"")</f>
        <v/>
      </c>
      <c r="L27" s="18">
        <f>IF(AND(L$4&gt;=$C27,L$4&lt;=$D27),1,"")</f>
        <v/>
      </c>
      <c r="M27" s="18">
        <f>IF(AND(M$4&gt;=$C27,M$4&lt;=$D27),1,"")</f>
        <v/>
      </c>
      <c r="N27" s="18">
        <f>IF(AND(N$4&gt;=$C27,N$4&lt;=$D27),1,"")</f>
        <v/>
      </c>
      <c r="O27" s="18">
        <f>IF(AND(O$4&gt;=$C27,O$4&lt;=$D27),1,"")</f>
        <v/>
      </c>
      <c r="P27" s="18">
        <f>IF(AND(P$4&gt;=$C27,P$4&lt;=$D27),1,"")</f>
        <v/>
      </c>
      <c r="Q27" s="18">
        <f>IF(AND(Q$4&gt;=$C27,Q$4&lt;=$D27),1,"")</f>
        <v/>
      </c>
      <c r="R27" s="18">
        <f>IF(AND(R$4&gt;=$C27,R$4&lt;=$D27),1,"")</f>
        <v/>
      </c>
      <c r="S27" s="18">
        <f>IF(AND(S$4&gt;=$C27,S$4&lt;=$D27),1,"")</f>
        <v/>
      </c>
    </row>
    <row r="28" spans="1:19">
      <c r="A28" s="15">
        <f>'개발일정표'!A29</f>
        <v>24</v>
      </c>
      <c r="B28" s="16" t="str">
        <f>'개발일정표'!C29</f>
        <v>MySqlConnector 2.6.1 보안 업데이트·배포물에서 설정 파일 제외</v>
      </c>
      <c r="C28" s="17">
        <f>'개발일정표'!F29</f>
        <v>46324</v>
      </c>
      <c r="D28" s="17">
        <f>'개발일정표'!G29</f>
        <v>46324</v>
      </c>
      <c r="E28" s="15" t="str">
        <f>'개발일정표'!J29</f>
        <v>완료</v>
      </c>
      <c r="F28" s="18">
        <f>IF(AND(F$4&gt;=$C28,F$4&lt;=$D28),1,"")</f>
        <v/>
      </c>
      <c r="G28" s="18">
        <f>IF(AND(G$4&gt;=$C28,G$4&lt;=$D28),1,"")</f>
        <v/>
      </c>
      <c r="H28" s="18">
        <f>IF(AND(H$4&gt;=$C28,H$4&lt;=$D28),1,"")</f>
        <v>1</v>
      </c>
      <c r="I28" s="18">
        <f>IF(AND(I$4&gt;=$C28,I$4&lt;=$D28),1,"")</f>
        <v/>
      </c>
      <c r="J28" s="18">
        <f>IF(AND(J$4&gt;=$C28,J$4&lt;=$D28),1,"")</f>
        <v/>
      </c>
      <c r="K28" s="18">
        <f>IF(AND(K$4&gt;=$C28,K$4&lt;=$D28),1,"")</f>
        <v/>
      </c>
      <c r="L28" s="18">
        <f>IF(AND(L$4&gt;=$C28,L$4&lt;=$D28),1,"")</f>
        <v/>
      </c>
      <c r="M28" s="18">
        <f>IF(AND(M$4&gt;=$C28,M$4&lt;=$D28),1,"")</f>
        <v/>
      </c>
      <c r="N28" s="18">
        <f>IF(AND(N$4&gt;=$C28,N$4&lt;=$D28),1,"")</f>
        <v/>
      </c>
      <c r="O28" s="18">
        <f>IF(AND(O$4&gt;=$C28,O$4&lt;=$D28),1,"")</f>
        <v/>
      </c>
      <c r="P28" s="18">
        <f>IF(AND(P$4&gt;=$C28,P$4&lt;=$D28),1,"")</f>
        <v/>
      </c>
      <c r="Q28" s="18">
        <f>IF(AND(Q$4&gt;=$C28,Q$4&lt;=$D28),1,"")</f>
        <v/>
      </c>
      <c r="R28" s="18">
        <f>IF(AND(R$4&gt;=$C28,R$4&lt;=$D28),1,"")</f>
        <v/>
      </c>
      <c r="S28" s="18">
        <f>IF(AND(S$4&gt;=$C28,S$4&lt;=$D28),1,"")</f>
        <v/>
      </c>
    </row>
    <row r="29" spans="1:19">
      <c r="A29" s="15">
        <f>'개발일정표'!A30</f>
        <v>25</v>
      </c>
      <c r="B29" s="16" t="str">
        <f>'개발일정표'!C30</f>
        <v>화면 자동 테스트 (FlaUI)</v>
      </c>
      <c r="C29" s="17">
        <f>'개발일정표'!F30</f>
        <v>46324</v>
      </c>
      <c r="D29" s="17">
        <f>'개발일정표'!G30</f>
        <v>46324</v>
      </c>
      <c r="E29" s="15" t="str">
        <f>'개발일정표'!J30</f>
        <v>완료</v>
      </c>
      <c r="F29" s="18">
        <f>IF(AND(F$4&gt;=$C29,F$4&lt;=$D29),1,"")</f>
        <v/>
      </c>
      <c r="G29" s="18">
        <f>IF(AND(G$4&gt;=$C29,G$4&lt;=$D29),1,"")</f>
        <v/>
      </c>
      <c r="H29" s="18">
        <f>IF(AND(H$4&gt;=$C29,H$4&lt;=$D29),1,"")</f>
        <v>1</v>
      </c>
      <c r="I29" s="18">
        <f>IF(AND(I$4&gt;=$C29,I$4&lt;=$D29),1,"")</f>
        <v/>
      </c>
      <c r="J29" s="18">
        <f>IF(AND(J$4&gt;=$C29,J$4&lt;=$D29),1,"")</f>
        <v/>
      </c>
      <c r="K29" s="18">
        <f>IF(AND(K$4&gt;=$C29,K$4&lt;=$D29),1,"")</f>
        <v/>
      </c>
      <c r="L29" s="18">
        <f>IF(AND(L$4&gt;=$C29,L$4&lt;=$D29),1,"")</f>
        <v/>
      </c>
      <c r="M29" s="18">
        <f>IF(AND(M$4&gt;=$C29,M$4&lt;=$D29),1,"")</f>
        <v/>
      </c>
      <c r="N29" s="18">
        <f>IF(AND(N$4&gt;=$C29,N$4&lt;=$D29),1,"")</f>
        <v/>
      </c>
      <c r="O29" s="18">
        <f>IF(AND(O$4&gt;=$C29,O$4&lt;=$D29),1,"")</f>
        <v/>
      </c>
      <c r="P29" s="18">
        <f>IF(AND(P$4&gt;=$C29,P$4&lt;=$D29),1,"")</f>
        <v/>
      </c>
      <c r="Q29" s="18">
        <f>IF(AND(Q$4&gt;=$C29,Q$4&lt;=$D29),1,"")</f>
        <v/>
      </c>
      <c r="R29" s="18">
        <f>IF(AND(R$4&gt;=$C29,R$4&lt;=$D29),1,"")</f>
        <v/>
      </c>
      <c r="S29" s="18">
        <f>IF(AND(S$4&gt;=$C29,S$4&lt;=$D29),1,"")</f>
        <v/>
      </c>
    </row>
    <row r="30" spans="1:19">
      <c r="A30" s="15">
        <f>'개발일정표'!A31</f>
        <v>26</v>
      </c>
      <c r="B30" s="16" t="str">
        <f>'개발일정표'!C31</f>
        <v>단위·통합 테스트 추가, CI에서 테스트 실행</v>
      </c>
      <c r="C30" s="17">
        <f>'개발일정표'!F31</f>
        <v>46324</v>
      </c>
      <c r="D30" s="17">
        <f>'개발일정표'!G31</f>
        <v>46324</v>
      </c>
      <c r="E30" s="15" t="str">
        <f>'개발일정표'!J31</f>
        <v>완료</v>
      </c>
      <c r="F30" s="18">
        <f>IF(AND(F$4&gt;=$C30,F$4&lt;=$D30),1,"")</f>
        <v/>
      </c>
      <c r="G30" s="18">
        <f>IF(AND(G$4&gt;=$C30,G$4&lt;=$D30),1,"")</f>
        <v/>
      </c>
      <c r="H30" s="18">
        <f>IF(AND(H$4&gt;=$C30,H$4&lt;=$D30),1,"")</f>
        <v>1</v>
      </c>
      <c r="I30" s="18">
        <f>IF(AND(I$4&gt;=$C30,I$4&lt;=$D30),1,"")</f>
        <v/>
      </c>
      <c r="J30" s="18">
        <f>IF(AND(J$4&gt;=$C30,J$4&lt;=$D30),1,"")</f>
        <v/>
      </c>
      <c r="K30" s="18">
        <f>IF(AND(K$4&gt;=$C30,K$4&lt;=$D30),1,"")</f>
        <v/>
      </c>
      <c r="L30" s="18">
        <f>IF(AND(L$4&gt;=$C30,L$4&lt;=$D30),1,"")</f>
        <v/>
      </c>
      <c r="M30" s="18">
        <f>IF(AND(M$4&gt;=$C30,M$4&lt;=$D30),1,"")</f>
        <v/>
      </c>
      <c r="N30" s="18">
        <f>IF(AND(N$4&gt;=$C30,N$4&lt;=$D30),1,"")</f>
        <v/>
      </c>
      <c r="O30" s="18">
        <f>IF(AND(O$4&gt;=$C30,O$4&lt;=$D30),1,"")</f>
        <v/>
      </c>
      <c r="P30" s="18">
        <f>IF(AND(P$4&gt;=$C30,P$4&lt;=$D30),1,"")</f>
        <v/>
      </c>
      <c r="Q30" s="18">
        <f>IF(AND(Q$4&gt;=$C30,Q$4&lt;=$D30),1,"")</f>
        <v/>
      </c>
      <c r="R30" s="18">
        <f>IF(AND(R$4&gt;=$C30,R$4&lt;=$D30),1,"")</f>
        <v/>
      </c>
      <c r="S30" s="18">
        <f>IF(AND(S$4&gt;=$C30,S$4&lt;=$D30),1,"")</f>
        <v/>
      </c>
    </row>
    <row r="31" spans="1:19">
      <c r="A31" s="15">
        <f>'개발일정표'!A32</f>
        <v>27</v>
      </c>
      <c r="B31" s="16" t="str">
        <f>'개발일정표'!C32</f>
        <v>테스트 결과서 작성</v>
      </c>
      <c r="C31" s="17">
        <f>'개발일정표'!F32</f>
        <v>46324</v>
      </c>
      <c r="D31" s="17">
        <f>'개발일정표'!G32</f>
        <v>46324</v>
      </c>
      <c r="E31" s="15" t="str">
        <f>'개발일정표'!J32</f>
        <v>완료</v>
      </c>
      <c r="F31" s="18">
        <f>IF(AND(F$4&gt;=$C31,F$4&lt;=$D31),1,"")</f>
        <v/>
      </c>
      <c r="G31" s="18">
        <f>IF(AND(G$4&gt;=$C31,G$4&lt;=$D31),1,"")</f>
        <v/>
      </c>
      <c r="H31" s="18">
        <f>IF(AND(H$4&gt;=$C31,H$4&lt;=$D31),1,"")</f>
        <v>1</v>
      </c>
      <c r="I31" s="18">
        <f>IF(AND(I$4&gt;=$C31,I$4&lt;=$D31),1,"")</f>
        <v/>
      </c>
      <c r="J31" s="18">
        <f>IF(AND(J$4&gt;=$C31,J$4&lt;=$D31),1,"")</f>
        <v/>
      </c>
      <c r="K31" s="18">
        <f>IF(AND(K$4&gt;=$C31,K$4&lt;=$D31),1,"")</f>
        <v/>
      </c>
      <c r="L31" s="18">
        <f>IF(AND(L$4&gt;=$C31,L$4&lt;=$D31),1,"")</f>
        <v/>
      </c>
      <c r="M31" s="18">
        <f>IF(AND(M$4&gt;=$C31,M$4&lt;=$D31),1,"")</f>
        <v/>
      </c>
      <c r="N31" s="18">
        <f>IF(AND(N$4&gt;=$C31,N$4&lt;=$D31),1,"")</f>
        <v/>
      </c>
      <c r="O31" s="18">
        <f>IF(AND(O$4&gt;=$C31,O$4&lt;=$D31),1,"")</f>
        <v/>
      </c>
      <c r="P31" s="18">
        <f>IF(AND(P$4&gt;=$C31,P$4&lt;=$D31),1,"")</f>
        <v/>
      </c>
      <c r="Q31" s="18">
        <f>IF(AND(Q$4&gt;=$C31,Q$4&lt;=$D31),1,"")</f>
        <v/>
      </c>
      <c r="R31" s="18">
        <f>IF(AND(R$4&gt;=$C31,R$4&lt;=$D31),1,"")</f>
        <v/>
      </c>
      <c r="S31" s="18">
        <f>IF(AND(S$4&gt;=$C31,S$4&lt;=$D31),1,"")</f>
        <v/>
      </c>
    </row>
    <row r="32" spans="1:19">
      <c r="A32" s="15">
        <f>'개발일정표'!A33</f>
        <v>28</v>
      </c>
      <c r="B32" s="16" t="str">
        <f>'개발일정표'!C33</f>
        <v>아키텍처 문서·서버 운영 가이드 (PDF 포함)</v>
      </c>
      <c r="C32" s="17">
        <f>'개발일정표'!F33</f>
        <v>46324</v>
      </c>
      <c r="D32" s="17">
        <f>'개발일정표'!G33</f>
        <v>46324</v>
      </c>
      <c r="E32" s="15" t="str">
        <f>'개발일정표'!J33</f>
        <v>완료</v>
      </c>
      <c r="F32" s="18">
        <f>IF(AND(F$4&gt;=$C32,F$4&lt;=$D32),1,"")</f>
        <v/>
      </c>
      <c r="G32" s="18">
        <f>IF(AND(G$4&gt;=$C32,G$4&lt;=$D32),1,"")</f>
        <v/>
      </c>
      <c r="H32" s="18">
        <f>IF(AND(H$4&gt;=$C32,H$4&lt;=$D32),1,"")</f>
        <v>1</v>
      </c>
      <c r="I32" s="18">
        <f>IF(AND(I$4&gt;=$C32,I$4&lt;=$D32),1,"")</f>
        <v/>
      </c>
      <c r="J32" s="18">
        <f>IF(AND(J$4&gt;=$C32,J$4&lt;=$D32),1,"")</f>
        <v/>
      </c>
      <c r="K32" s="18">
        <f>IF(AND(K$4&gt;=$C32,K$4&lt;=$D32),1,"")</f>
        <v/>
      </c>
      <c r="L32" s="18">
        <f>IF(AND(L$4&gt;=$C32,L$4&lt;=$D32),1,"")</f>
        <v/>
      </c>
      <c r="M32" s="18">
        <f>IF(AND(M$4&gt;=$C32,M$4&lt;=$D32),1,"")</f>
        <v/>
      </c>
      <c r="N32" s="18">
        <f>IF(AND(N$4&gt;=$C32,N$4&lt;=$D32),1,"")</f>
        <v/>
      </c>
      <c r="O32" s="18">
        <f>IF(AND(O$4&gt;=$C32,O$4&lt;=$D32),1,"")</f>
        <v/>
      </c>
      <c r="P32" s="18">
        <f>IF(AND(P$4&gt;=$C32,P$4&lt;=$D32),1,"")</f>
        <v/>
      </c>
      <c r="Q32" s="18">
        <f>IF(AND(Q$4&gt;=$C32,Q$4&lt;=$D32),1,"")</f>
        <v/>
      </c>
      <c r="R32" s="18">
        <f>IF(AND(R$4&gt;=$C32,R$4&lt;=$D32),1,"")</f>
        <v/>
      </c>
      <c r="S32" s="18">
        <f>IF(AND(S$4&gt;=$C32,S$4&lt;=$D32),1,"")</f>
        <v/>
      </c>
    </row>
    <row r="33" spans="1:19">
      <c r="A33" s="15">
        <f>'개발일정표'!A34</f>
        <v>29</v>
      </c>
      <c r="B33" s="16" t="str">
        <f>'개발일정표'!C34</f>
        <v>전체 파일 코드별 상세 주석</v>
      </c>
      <c r="C33" s="17">
        <f>'개발일정표'!F34</f>
        <v>46325</v>
      </c>
      <c r="D33" s="17">
        <f>'개발일정표'!G34</f>
        <v>46325</v>
      </c>
      <c r="E33" s="15" t="str">
        <f>'개발일정표'!J34</f>
        <v>완료</v>
      </c>
      <c r="F33" s="18">
        <f>IF(AND(F$4&gt;=$C33,F$4&lt;=$D33),1,"")</f>
        <v/>
      </c>
      <c r="G33" s="18">
        <f>IF(AND(G$4&gt;=$C33,G$4&lt;=$D33),1,"")</f>
        <v/>
      </c>
      <c r="H33" s="18">
        <f>IF(AND(H$4&gt;=$C33,H$4&lt;=$D33),1,"")</f>
        <v/>
      </c>
      <c r="I33" s="18">
        <f>IF(AND(I$4&gt;=$C33,I$4&lt;=$D33),1,"")</f>
        <v>1</v>
      </c>
      <c r="J33" s="18">
        <f>IF(AND(J$4&gt;=$C33,J$4&lt;=$D33),1,"")</f>
        <v/>
      </c>
      <c r="K33" s="18">
        <f>IF(AND(K$4&gt;=$C33,K$4&lt;=$D33),1,"")</f>
        <v/>
      </c>
      <c r="L33" s="18">
        <f>IF(AND(L$4&gt;=$C33,L$4&lt;=$D33),1,"")</f>
        <v/>
      </c>
      <c r="M33" s="18">
        <f>IF(AND(M$4&gt;=$C33,M$4&lt;=$D33),1,"")</f>
        <v/>
      </c>
      <c r="N33" s="18">
        <f>IF(AND(N$4&gt;=$C33,N$4&lt;=$D33),1,"")</f>
        <v/>
      </c>
      <c r="O33" s="18">
        <f>IF(AND(O$4&gt;=$C33,O$4&lt;=$D33),1,"")</f>
        <v/>
      </c>
      <c r="P33" s="18">
        <f>IF(AND(P$4&gt;=$C33,P$4&lt;=$D33),1,"")</f>
        <v/>
      </c>
      <c r="Q33" s="18">
        <f>IF(AND(Q$4&gt;=$C33,Q$4&lt;=$D33),1,"")</f>
        <v/>
      </c>
      <c r="R33" s="18">
        <f>IF(AND(R$4&gt;=$C33,R$4&lt;=$D33),1,"")</f>
        <v/>
      </c>
      <c r="S33" s="18">
        <f>IF(AND(S$4&gt;=$C33,S$4&lt;=$D33),1,"")</f>
        <v/>
      </c>
    </row>
    <row r="34" spans="1:19">
      <c r="A34" s="15">
        <f>'개발일정표'!A35</f>
        <v>30</v>
      </c>
      <c r="B34" s="16" t="str">
        <f>'개발일정표'!C35</f>
        <v>초보자용 설명 주석 분리·README 정리</v>
      </c>
      <c r="C34" s="17">
        <f>'개발일정표'!F35</f>
        <v>46327</v>
      </c>
      <c r="D34" s="17">
        <f>'개발일정표'!G35</f>
        <v>46327</v>
      </c>
      <c r="E34" s="15" t="str">
        <f>'개발일정표'!J35</f>
        <v>완료</v>
      </c>
      <c r="F34" s="18">
        <f>IF(AND(F$4&gt;=$C34,F$4&lt;=$D34),1,"")</f>
        <v/>
      </c>
      <c r="G34" s="18">
        <f>IF(AND(G$4&gt;=$C34,G$4&lt;=$D34),1,"")</f>
        <v/>
      </c>
      <c r="H34" s="18">
        <f>IF(AND(H$4&gt;=$C34,H$4&lt;=$D34),1,"")</f>
        <v/>
      </c>
      <c r="I34" s="18">
        <f>IF(AND(I$4&gt;=$C34,I$4&lt;=$D34),1,"")</f>
        <v/>
      </c>
      <c r="J34" s="18">
        <f>IF(AND(J$4&gt;=$C34,J$4&lt;=$D34),1,"")</f>
        <v/>
      </c>
      <c r="K34" s="18">
        <f>IF(AND(K$4&gt;=$C34,K$4&lt;=$D34),1,"")</f>
        <v>1</v>
      </c>
      <c r="L34" s="18">
        <f>IF(AND(L$4&gt;=$C34,L$4&lt;=$D34),1,"")</f>
        <v/>
      </c>
      <c r="M34" s="18">
        <f>IF(AND(M$4&gt;=$C34,M$4&lt;=$D34),1,"")</f>
        <v/>
      </c>
      <c r="N34" s="18">
        <f>IF(AND(N$4&gt;=$C34,N$4&lt;=$D34),1,"")</f>
        <v/>
      </c>
      <c r="O34" s="18">
        <f>IF(AND(O$4&gt;=$C34,O$4&lt;=$D34),1,"")</f>
        <v/>
      </c>
      <c r="P34" s="18">
        <f>IF(AND(P$4&gt;=$C34,P$4&lt;=$D34),1,"")</f>
        <v/>
      </c>
      <c r="Q34" s="18">
        <f>IF(AND(Q$4&gt;=$C34,Q$4&lt;=$D34),1,"")</f>
        <v/>
      </c>
      <c r="R34" s="18">
        <f>IF(AND(R$4&gt;=$C34,R$4&lt;=$D34),1,"")</f>
        <v/>
      </c>
      <c r="S34" s="18">
        <f>IF(AND(S$4&gt;=$C34,S$4&lt;=$D34),1,"")</f>
        <v/>
      </c>
    </row>
    <row r="35" spans="1:19">
      <c r="A35" s="15">
        <f>'개발일정표'!A36</f>
        <v>31</v>
      </c>
      <c r="B35" s="16" t="str">
        <f>'개발일정표'!C36</f>
        <v>MIT 라이선스·DB 설치 안내 정리</v>
      </c>
      <c r="C35" s="17">
        <f>'개발일정표'!F36</f>
        <v>46327</v>
      </c>
      <c r="D35" s="17">
        <f>'개발일정표'!G36</f>
        <v>46327</v>
      </c>
      <c r="E35" s="15" t="str">
        <f>'개발일정표'!J36</f>
        <v>완료</v>
      </c>
      <c r="F35" s="18">
        <f>IF(AND(F$4&gt;=$C35,F$4&lt;=$D35),1,"")</f>
        <v/>
      </c>
      <c r="G35" s="18">
        <f>IF(AND(G$4&gt;=$C35,G$4&lt;=$D35),1,"")</f>
        <v/>
      </c>
      <c r="H35" s="18">
        <f>IF(AND(H$4&gt;=$C35,H$4&lt;=$D35),1,"")</f>
        <v/>
      </c>
      <c r="I35" s="18">
        <f>IF(AND(I$4&gt;=$C35,I$4&lt;=$D35),1,"")</f>
        <v/>
      </c>
      <c r="J35" s="18">
        <f>IF(AND(J$4&gt;=$C35,J$4&lt;=$D35),1,"")</f>
        <v/>
      </c>
      <c r="K35" s="18">
        <f>IF(AND(K$4&gt;=$C35,K$4&lt;=$D35),1,"")</f>
        <v>1</v>
      </c>
      <c r="L35" s="18">
        <f>IF(AND(L$4&gt;=$C35,L$4&lt;=$D35),1,"")</f>
        <v/>
      </c>
      <c r="M35" s="18">
        <f>IF(AND(M$4&gt;=$C35,M$4&lt;=$D35),1,"")</f>
        <v/>
      </c>
      <c r="N35" s="18">
        <f>IF(AND(N$4&gt;=$C35,N$4&lt;=$D35),1,"")</f>
        <v/>
      </c>
      <c r="O35" s="18">
        <f>IF(AND(O$4&gt;=$C35,O$4&lt;=$D35),1,"")</f>
        <v/>
      </c>
      <c r="P35" s="18">
        <f>IF(AND(P$4&gt;=$C35,P$4&lt;=$D35),1,"")</f>
        <v/>
      </c>
      <c r="Q35" s="18">
        <f>IF(AND(Q$4&gt;=$C35,Q$4&lt;=$D35),1,"")</f>
        <v/>
      </c>
      <c r="R35" s="18">
        <f>IF(AND(R$4&gt;=$C35,R$4&lt;=$D35),1,"")</f>
        <v/>
      </c>
      <c r="S35" s="18">
        <f>IF(AND(S$4&gt;=$C35,S$4&lt;=$D35),1,"")</f>
        <v/>
      </c>
    </row>
    <row r="36" spans="1:19">
      <c r="A36" s="15">
        <f>'개발일정표'!A37</f>
        <v>32</v>
      </c>
      <c r="B36" s="16" t="str">
        <f>'개발일정표'!C37</f>
        <v>비밀번호 해시 60만 회 (옛 해시 자동 업그레이드)</v>
      </c>
      <c r="C36" s="17">
        <f>'개발일정표'!F37</f>
        <v>46328</v>
      </c>
      <c r="D36" s="17">
        <f>'개발일정표'!G37</f>
        <v>46328</v>
      </c>
      <c r="E36" s="15" t="str">
        <f>'개발일정표'!J37</f>
        <v>완료</v>
      </c>
      <c r="F36" s="18">
        <f>IF(AND(F$4&gt;=$C36,F$4&lt;=$D36),1,"")</f>
        <v/>
      </c>
      <c r="G36" s="18">
        <f>IF(AND(G$4&gt;=$C36,G$4&lt;=$D36),1,"")</f>
        <v/>
      </c>
      <c r="H36" s="18">
        <f>IF(AND(H$4&gt;=$C36,H$4&lt;=$D36),1,"")</f>
        <v/>
      </c>
      <c r="I36" s="18">
        <f>IF(AND(I$4&gt;=$C36,I$4&lt;=$D36),1,"")</f>
        <v/>
      </c>
      <c r="J36" s="18">
        <f>IF(AND(J$4&gt;=$C36,J$4&lt;=$D36),1,"")</f>
        <v/>
      </c>
      <c r="K36" s="18">
        <f>IF(AND(K$4&gt;=$C36,K$4&lt;=$D36),1,"")</f>
        <v/>
      </c>
      <c r="L36" s="18">
        <f>IF(AND(L$4&gt;=$C36,L$4&lt;=$D36),1,"")</f>
        <v>1</v>
      </c>
      <c r="M36" s="18">
        <f>IF(AND(M$4&gt;=$C36,M$4&lt;=$D36),1,"")</f>
        <v/>
      </c>
      <c r="N36" s="18">
        <f>IF(AND(N$4&gt;=$C36,N$4&lt;=$D36),1,"")</f>
        <v/>
      </c>
      <c r="O36" s="18">
        <f>IF(AND(O$4&gt;=$C36,O$4&lt;=$D36),1,"")</f>
        <v/>
      </c>
      <c r="P36" s="18">
        <f>IF(AND(P$4&gt;=$C36,P$4&lt;=$D36),1,"")</f>
        <v/>
      </c>
      <c r="Q36" s="18">
        <f>IF(AND(Q$4&gt;=$C36,Q$4&lt;=$D36),1,"")</f>
        <v/>
      </c>
      <c r="R36" s="18">
        <f>IF(AND(R$4&gt;=$C36,R$4&lt;=$D36),1,"")</f>
        <v/>
      </c>
      <c r="S36" s="18">
        <f>IF(AND(S$4&gt;=$C36,S$4&lt;=$D36),1,"")</f>
        <v/>
      </c>
    </row>
    <row r="37" spans="1:19">
      <c r="A37" s="15">
        <f>'개발일정표'!A38</f>
        <v>33</v>
      </c>
      <c r="B37" s="16" t="str">
        <f>'개발일정표'!C38</f>
        <v>서비스 감독 자동 테스트 7개 + CI 연결</v>
      </c>
      <c r="C37" s="17">
        <f>'개발일정표'!F38</f>
        <v>46328</v>
      </c>
      <c r="D37" s="17">
        <f>'개발일정표'!G38</f>
        <v>46328</v>
      </c>
      <c r="E37" s="15" t="str">
        <f>'개발일정표'!J38</f>
        <v>완료</v>
      </c>
      <c r="F37" s="18">
        <f>IF(AND(F$4&gt;=$C37,F$4&lt;=$D37),1,"")</f>
        <v/>
      </c>
      <c r="G37" s="18">
        <f>IF(AND(G$4&gt;=$C37,G$4&lt;=$D37),1,"")</f>
        <v/>
      </c>
      <c r="H37" s="18">
        <f>IF(AND(H$4&gt;=$C37,H$4&lt;=$D37),1,"")</f>
        <v/>
      </c>
      <c r="I37" s="18">
        <f>IF(AND(I$4&gt;=$C37,I$4&lt;=$D37),1,"")</f>
        <v/>
      </c>
      <c r="J37" s="18">
        <f>IF(AND(J$4&gt;=$C37,J$4&lt;=$D37),1,"")</f>
        <v/>
      </c>
      <c r="K37" s="18">
        <f>IF(AND(K$4&gt;=$C37,K$4&lt;=$D37),1,"")</f>
        <v/>
      </c>
      <c r="L37" s="18">
        <f>IF(AND(L$4&gt;=$C37,L$4&lt;=$D37),1,"")</f>
        <v>1</v>
      </c>
      <c r="M37" s="18">
        <f>IF(AND(M$4&gt;=$C37,M$4&lt;=$D37),1,"")</f>
        <v/>
      </c>
      <c r="N37" s="18">
        <f>IF(AND(N$4&gt;=$C37,N$4&lt;=$D37),1,"")</f>
        <v/>
      </c>
      <c r="O37" s="18">
        <f>IF(AND(O$4&gt;=$C37,O$4&lt;=$D37),1,"")</f>
        <v/>
      </c>
      <c r="P37" s="18">
        <f>IF(AND(P$4&gt;=$C37,P$4&lt;=$D37),1,"")</f>
        <v/>
      </c>
      <c r="Q37" s="18">
        <f>IF(AND(Q$4&gt;=$C37,Q$4&lt;=$D37),1,"")</f>
        <v/>
      </c>
      <c r="R37" s="18">
        <f>IF(AND(R$4&gt;=$C37,R$4&lt;=$D37),1,"")</f>
        <v/>
      </c>
      <c r="S37" s="18">
        <f>IF(AND(S$4&gt;=$C37,S$4&lt;=$D37),1,"")</f>
        <v/>
      </c>
    </row>
    <row r="38" spans="1:19">
      <c r="A38" s="15">
        <f>'개발일정표'!A39</f>
        <v>34</v>
      </c>
      <c r="B38" s="16" t="str">
        <f>'개발일정표'!C39</f>
        <v>운영 설정 보안 (파일 권한·환경 변수)</v>
      </c>
      <c r="C38" s="17">
        <f>'개발일정표'!F39</f>
        <v>46328</v>
      </c>
      <c r="D38" s="17">
        <f>'개발일정표'!G39</f>
        <v>46328</v>
      </c>
      <c r="E38" s="15" t="str">
        <f>'개발일정표'!J39</f>
        <v>완료</v>
      </c>
      <c r="F38" s="18">
        <f>IF(AND(F$4&gt;=$C38,F$4&lt;=$D38),1,"")</f>
        <v/>
      </c>
      <c r="G38" s="18">
        <f>IF(AND(G$4&gt;=$C38,G$4&lt;=$D38),1,"")</f>
        <v/>
      </c>
      <c r="H38" s="18">
        <f>IF(AND(H$4&gt;=$C38,H$4&lt;=$D38),1,"")</f>
        <v/>
      </c>
      <c r="I38" s="18">
        <f>IF(AND(I$4&gt;=$C38,I$4&lt;=$D38),1,"")</f>
        <v/>
      </c>
      <c r="J38" s="18">
        <f>IF(AND(J$4&gt;=$C38,J$4&lt;=$D38),1,"")</f>
        <v/>
      </c>
      <c r="K38" s="18">
        <f>IF(AND(K$4&gt;=$C38,K$4&lt;=$D38),1,"")</f>
        <v/>
      </c>
      <c r="L38" s="18">
        <f>IF(AND(L$4&gt;=$C38,L$4&lt;=$D38),1,"")</f>
        <v>1</v>
      </c>
      <c r="M38" s="18">
        <f>IF(AND(M$4&gt;=$C38,M$4&lt;=$D38),1,"")</f>
        <v/>
      </c>
      <c r="N38" s="18">
        <f>IF(AND(N$4&gt;=$C38,N$4&lt;=$D38),1,"")</f>
        <v/>
      </c>
      <c r="O38" s="18">
        <f>IF(AND(O$4&gt;=$C38,O$4&lt;=$D38),1,"")</f>
        <v/>
      </c>
      <c r="P38" s="18">
        <f>IF(AND(P$4&gt;=$C38,P$4&lt;=$D38),1,"")</f>
        <v/>
      </c>
      <c r="Q38" s="18">
        <f>IF(AND(Q$4&gt;=$C38,Q$4&lt;=$D38),1,"")</f>
        <v/>
      </c>
      <c r="R38" s="18">
        <f>IF(AND(R$4&gt;=$C38,R$4&lt;=$D38),1,"")</f>
        <v/>
      </c>
      <c r="S38" s="18">
        <f>IF(AND(S$4&gt;=$C38,S$4&lt;=$D38),1,"")</f>
        <v/>
      </c>
    </row>
    <row r="39" spans="1:19">
      <c r="A39" s="15">
        <f>'개발일정표'!A40</f>
        <v>35</v>
      </c>
      <c r="B39" s="16" t="str">
        <f>'개발일정표'!C40</f>
        <v>요구사항 분석서 v2.0·데이터 정의서 v2.0·개발일정표 작성</v>
      </c>
      <c r="C39" s="17">
        <f>'개발일정표'!F40</f>
        <v>46328</v>
      </c>
      <c r="D39" s="17">
        <f>'개발일정표'!G40</f>
        <v>46328</v>
      </c>
      <c r="E39" s="15" t="str">
        <f>'개발일정표'!J40</f>
        <v>진행 중</v>
      </c>
      <c r="F39" s="18">
        <f>IF(AND(F$4&gt;=$C39,F$4&lt;=$D39),1,"")</f>
        <v/>
      </c>
      <c r="G39" s="18">
        <f>IF(AND(G$4&gt;=$C39,G$4&lt;=$D39),1,"")</f>
        <v/>
      </c>
      <c r="H39" s="18">
        <f>IF(AND(H$4&gt;=$C39,H$4&lt;=$D39),1,"")</f>
        <v/>
      </c>
      <c r="I39" s="18">
        <f>IF(AND(I$4&gt;=$C39,I$4&lt;=$D39),1,"")</f>
        <v/>
      </c>
      <c r="J39" s="18">
        <f>IF(AND(J$4&gt;=$C39,J$4&lt;=$D39),1,"")</f>
        <v/>
      </c>
      <c r="K39" s="18">
        <f>IF(AND(K$4&gt;=$C39,K$4&lt;=$D39),1,"")</f>
        <v/>
      </c>
      <c r="L39" s="18">
        <f>IF(AND(L$4&gt;=$C39,L$4&lt;=$D39),1,"")</f>
        <v>1</v>
      </c>
      <c r="M39" s="18">
        <f>IF(AND(M$4&gt;=$C39,M$4&lt;=$D39),1,"")</f>
        <v/>
      </c>
      <c r="N39" s="18">
        <f>IF(AND(N$4&gt;=$C39,N$4&lt;=$D39),1,"")</f>
        <v/>
      </c>
      <c r="O39" s="18">
        <f>IF(AND(O$4&gt;=$C39,O$4&lt;=$D39),1,"")</f>
        <v/>
      </c>
      <c r="P39" s="18">
        <f>IF(AND(P$4&gt;=$C39,P$4&lt;=$D39),1,"")</f>
        <v/>
      </c>
      <c r="Q39" s="18">
        <f>IF(AND(Q$4&gt;=$C39,Q$4&lt;=$D39),1,"")</f>
        <v/>
      </c>
      <c r="R39" s="18">
        <f>IF(AND(R$4&gt;=$C39,R$4&lt;=$D39),1,"")</f>
        <v/>
      </c>
      <c r="S39" s="18">
        <f>IF(AND(S$4&gt;=$C39,S$4&lt;=$D39),1,"")</f>
        <v/>
      </c>
    </row>
    <row r="40" spans="1:19">
      <c r="A40" s="15">
        <f>'개발일정표'!A41</f>
        <v>36</v>
      </c>
      <c r="B40" s="16" t="str">
        <f>'개발일정표'!C41</f>
        <v>코드 주석 정확성 검수</v>
      </c>
      <c r="C40" s="17">
        <f>'개발일정표'!F41</f>
        <v>46328</v>
      </c>
      <c r="D40" s="17">
        <f>'개발일정표'!G41</f>
        <v>46329</v>
      </c>
      <c r="E40" s="15" t="str">
        <f>'개발일정표'!J41</f>
        <v>진행 중</v>
      </c>
      <c r="F40" s="18">
        <f>IF(AND(F$4&gt;=$C40,F$4&lt;=$D40),1,"")</f>
        <v/>
      </c>
      <c r="G40" s="18">
        <f>IF(AND(G$4&gt;=$C40,G$4&lt;=$D40),1,"")</f>
        <v/>
      </c>
      <c r="H40" s="18">
        <f>IF(AND(H$4&gt;=$C40,H$4&lt;=$D40),1,"")</f>
        <v/>
      </c>
      <c r="I40" s="18">
        <f>IF(AND(I$4&gt;=$C40,I$4&lt;=$D40),1,"")</f>
        <v/>
      </c>
      <c r="J40" s="18">
        <f>IF(AND(J$4&gt;=$C40,J$4&lt;=$D40),1,"")</f>
        <v/>
      </c>
      <c r="K40" s="18">
        <f>IF(AND(K$4&gt;=$C40,K$4&lt;=$D40),1,"")</f>
        <v/>
      </c>
      <c r="L40" s="18">
        <f>IF(AND(L$4&gt;=$C40,L$4&lt;=$D40),1,"")</f>
        <v>1</v>
      </c>
      <c r="M40" s="18">
        <f>IF(AND(M$4&gt;=$C40,M$4&lt;=$D40),1,"")</f>
        <v>1</v>
      </c>
      <c r="N40" s="18">
        <f>IF(AND(N$4&gt;=$C40,N$4&lt;=$D40),1,"")</f>
        <v/>
      </c>
      <c r="O40" s="18">
        <f>IF(AND(O$4&gt;=$C40,O$4&lt;=$D40),1,"")</f>
        <v/>
      </c>
      <c r="P40" s="18">
        <f>IF(AND(P$4&gt;=$C40,P$4&lt;=$D40),1,"")</f>
        <v/>
      </c>
      <c r="Q40" s="18">
        <f>IF(AND(Q$4&gt;=$C40,Q$4&lt;=$D40),1,"")</f>
        <v/>
      </c>
      <c r="R40" s="18">
        <f>IF(AND(R$4&gt;=$C40,R$4&lt;=$D40),1,"")</f>
        <v/>
      </c>
      <c r="S40" s="18">
        <f>IF(AND(S$4&gt;=$C40,S$4&lt;=$D40),1,"")</f>
        <v/>
      </c>
    </row>
    <row r="41" spans="1:19">
      <c r="A41" s="15">
        <f>'개발일정표'!A42</f>
        <v>37</v>
      </c>
      <c r="B41" s="16" t="str">
        <f>'개발일정표'!C42</f>
        <v>미확인 테스트 실행·결과 기록 (T-03~T-08, T-10, T-16)</v>
      </c>
      <c r="C41" s="17">
        <f>'개발일정표'!F42</f>
        <v>46329</v>
      </c>
      <c r="D41" s="17">
        <f>'개발일정표'!G42</f>
        <v>46330</v>
      </c>
      <c r="E41" s="15" t="str">
        <f>'개발일정표'!J42</f>
        <v>예정</v>
      </c>
      <c r="F41" s="18">
        <f>IF(AND(F$4&gt;=$C41,F$4&lt;=$D41),1,"")</f>
        <v/>
      </c>
      <c r="G41" s="18">
        <f>IF(AND(G$4&gt;=$C41,G$4&lt;=$D41),1,"")</f>
        <v/>
      </c>
      <c r="H41" s="18">
        <f>IF(AND(H$4&gt;=$C41,H$4&lt;=$D41),1,"")</f>
        <v/>
      </c>
      <c r="I41" s="18">
        <f>IF(AND(I$4&gt;=$C41,I$4&lt;=$D41),1,"")</f>
        <v/>
      </c>
      <c r="J41" s="18">
        <f>IF(AND(J$4&gt;=$C41,J$4&lt;=$D41),1,"")</f>
        <v/>
      </c>
      <c r="K41" s="18">
        <f>IF(AND(K$4&gt;=$C41,K$4&lt;=$D41),1,"")</f>
        <v/>
      </c>
      <c r="L41" s="18">
        <f>IF(AND(L$4&gt;=$C41,L$4&lt;=$D41),1,"")</f>
        <v/>
      </c>
      <c r="M41" s="18">
        <f>IF(AND(M$4&gt;=$C41,M$4&lt;=$D41),1,"")</f>
        <v>1</v>
      </c>
      <c r="N41" s="18">
        <f>IF(AND(N$4&gt;=$C41,N$4&lt;=$D41),1,"")</f>
        <v>1</v>
      </c>
      <c r="O41" s="18">
        <f>IF(AND(O$4&gt;=$C41,O$4&lt;=$D41),1,"")</f>
        <v/>
      </c>
      <c r="P41" s="18">
        <f>IF(AND(P$4&gt;=$C41,P$4&lt;=$D41),1,"")</f>
        <v/>
      </c>
      <c r="Q41" s="18">
        <f>IF(AND(Q$4&gt;=$C41,Q$4&lt;=$D41),1,"")</f>
        <v/>
      </c>
      <c r="R41" s="18">
        <f>IF(AND(R$4&gt;=$C41,R$4&lt;=$D41),1,"")</f>
        <v/>
      </c>
      <c r="S41" s="18">
        <f>IF(AND(S$4&gt;=$C41,S$4&lt;=$D41),1,"")</f>
        <v/>
      </c>
    </row>
    <row r="42" spans="1:19">
      <c r="A42" s="15">
        <f>'개발일정표'!A43</f>
        <v>38</v>
      </c>
      <c r="B42" s="16" t="str">
        <f>'개발일정표'!C43</f>
        <v>서버 PC 실환경 확인 (서비스 설치·권한 제한·환경 변수·부팅 자동 시작)</v>
      </c>
      <c r="C42" s="17">
        <f>'개발일정표'!F43</f>
        <v>46329</v>
      </c>
      <c r="D42" s="17">
        <f>'개발일정표'!G43</f>
        <v>46330</v>
      </c>
      <c r="E42" s="15" t="str">
        <f>'개발일정표'!J43</f>
        <v>예정</v>
      </c>
      <c r="F42" s="18">
        <f>IF(AND(F$4&gt;=$C42,F$4&lt;=$D42),1,"")</f>
        <v/>
      </c>
      <c r="G42" s="18">
        <f>IF(AND(G$4&gt;=$C42,G$4&lt;=$D42),1,"")</f>
        <v/>
      </c>
      <c r="H42" s="18">
        <f>IF(AND(H$4&gt;=$C42,H$4&lt;=$D42),1,"")</f>
        <v/>
      </c>
      <c r="I42" s="18">
        <f>IF(AND(I$4&gt;=$C42,I$4&lt;=$D42),1,"")</f>
        <v/>
      </c>
      <c r="J42" s="18">
        <f>IF(AND(J$4&gt;=$C42,J$4&lt;=$D42),1,"")</f>
        <v/>
      </c>
      <c r="K42" s="18">
        <f>IF(AND(K$4&gt;=$C42,K$4&lt;=$D42),1,"")</f>
        <v/>
      </c>
      <c r="L42" s="18">
        <f>IF(AND(L$4&gt;=$C42,L$4&lt;=$D42),1,"")</f>
        <v/>
      </c>
      <c r="M42" s="18">
        <f>IF(AND(M$4&gt;=$C42,M$4&lt;=$D42),1,"")</f>
        <v>1</v>
      </c>
      <c r="N42" s="18">
        <f>IF(AND(N$4&gt;=$C42,N$4&lt;=$D42),1,"")</f>
        <v>1</v>
      </c>
      <c r="O42" s="18">
        <f>IF(AND(O$4&gt;=$C42,O$4&lt;=$D42),1,"")</f>
        <v/>
      </c>
      <c r="P42" s="18">
        <f>IF(AND(P$4&gt;=$C42,P$4&lt;=$D42),1,"")</f>
        <v/>
      </c>
      <c r="Q42" s="18">
        <f>IF(AND(Q$4&gt;=$C42,Q$4&lt;=$D42),1,"")</f>
        <v/>
      </c>
      <c r="R42" s="18">
        <f>IF(AND(R$4&gt;=$C42,R$4&lt;=$D42),1,"")</f>
        <v/>
      </c>
      <c r="S42" s="18">
        <f>IF(AND(S$4&gt;=$C42,S$4&lt;=$D42),1,"")</f>
        <v/>
      </c>
    </row>
    <row r="43" spans="1:19">
      <c r="A43" s="15">
        <f>'개발일정표'!A44</f>
        <v>39</v>
      </c>
      <c r="B43" s="16" t="str">
        <f>'개발일정표'!C44</f>
        <v>60만 회 해시 기준 부하 테스트 재측정</v>
      </c>
      <c r="C43" s="17">
        <f>'개발일정표'!F44</f>
        <v>46330</v>
      </c>
      <c r="D43" s="17">
        <f>'개발일정표'!G44</f>
        <v>46330</v>
      </c>
      <c r="E43" s="15" t="str">
        <f>'개발일정표'!J44</f>
        <v>예정</v>
      </c>
      <c r="F43" s="18">
        <f>IF(AND(F$4&gt;=$C43,F$4&lt;=$D43),1,"")</f>
        <v/>
      </c>
      <c r="G43" s="18">
        <f>IF(AND(G$4&gt;=$C43,G$4&lt;=$D43),1,"")</f>
        <v/>
      </c>
      <c r="H43" s="18">
        <f>IF(AND(H$4&gt;=$C43,H$4&lt;=$D43),1,"")</f>
        <v/>
      </c>
      <c r="I43" s="18">
        <f>IF(AND(I$4&gt;=$C43,I$4&lt;=$D43),1,"")</f>
        <v/>
      </c>
      <c r="J43" s="18">
        <f>IF(AND(J$4&gt;=$C43,J$4&lt;=$D43),1,"")</f>
        <v/>
      </c>
      <c r="K43" s="18">
        <f>IF(AND(K$4&gt;=$C43,K$4&lt;=$D43),1,"")</f>
        <v/>
      </c>
      <c r="L43" s="18">
        <f>IF(AND(L$4&gt;=$C43,L$4&lt;=$D43),1,"")</f>
        <v/>
      </c>
      <c r="M43" s="18">
        <f>IF(AND(M$4&gt;=$C43,M$4&lt;=$D43),1,"")</f>
        <v/>
      </c>
      <c r="N43" s="18">
        <f>IF(AND(N$4&gt;=$C43,N$4&lt;=$D43),1,"")</f>
        <v>1</v>
      </c>
      <c r="O43" s="18">
        <f>IF(AND(O$4&gt;=$C43,O$4&lt;=$D43),1,"")</f>
        <v/>
      </c>
      <c r="P43" s="18">
        <f>IF(AND(P$4&gt;=$C43,P$4&lt;=$D43),1,"")</f>
        <v/>
      </c>
      <c r="Q43" s="18">
        <f>IF(AND(Q$4&gt;=$C43,Q$4&lt;=$D43),1,"")</f>
        <v/>
      </c>
      <c r="R43" s="18">
        <f>IF(AND(R$4&gt;=$C43,R$4&lt;=$D43),1,"")</f>
        <v/>
      </c>
      <c r="S43" s="18">
        <f>IF(AND(S$4&gt;=$C43,S$4&lt;=$D43),1,"")</f>
        <v/>
      </c>
    </row>
    <row r="44" spans="1:19">
      <c r="A44" s="15">
        <f>'개발일정표'!A45</f>
        <v>40</v>
      </c>
      <c r="B44" s="16" t="str">
        <f>'개발일정표'!C45</f>
        <v>발표 자료 준비</v>
      </c>
      <c r="C44" s="17">
        <f>'개발일정표'!F45</f>
        <v>46330</v>
      </c>
      <c r="D44" s="17">
        <f>'개발일정표'!G45</f>
        <v>46331</v>
      </c>
      <c r="E44" s="15" t="str">
        <f>'개발일정표'!J45</f>
        <v>예정</v>
      </c>
      <c r="F44" s="18">
        <f>IF(AND(F$4&gt;=$C44,F$4&lt;=$D44),1,"")</f>
        <v/>
      </c>
      <c r="G44" s="18">
        <f>IF(AND(G$4&gt;=$C44,G$4&lt;=$D44),1,"")</f>
        <v/>
      </c>
      <c r="H44" s="18">
        <f>IF(AND(H$4&gt;=$C44,H$4&lt;=$D44),1,"")</f>
        <v/>
      </c>
      <c r="I44" s="18">
        <f>IF(AND(I$4&gt;=$C44,I$4&lt;=$D44),1,"")</f>
        <v/>
      </c>
      <c r="J44" s="18">
        <f>IF(AND(J$4&gt;=$C44,J$4&lt;=$D44),1,"")</f>
        <v/>
      </c>
      <c r="K44" s="18">
        <f>IF(AND(K$4&gt;=$C44,K$4&lt;=$D44),1,"")</f>
        <v/>
      </c>
      <c r="L44" s="18">
        <f>IF(AND(L$4&gt;=$C44,L$4&lt;=$D44),1,"")</f>
        <v/>
      </c>
      <c r="M44" s="18">
        <f>IF(AND(M$4&gt;=$C44,M$4&lt;=$D44),1,"")</f>
        <v/>
      </c>
      <c r="N44" s="18">
        <f>IF(AND(N$4&gt;=$C44,N$4&lt;=$D44),1,"")</f>
        <v>1</v>
      </c>
      <c r="O44" s="18">
        <f>IF(AND(O$4&gt;=$C44,O$4&lt;=$D44),1,"")</f>
        <v>1</v>
      </c>
      <c r="P44" s="18">
        <f>IF(AND(P$4&gt;=$C44,P$4&lt;=$D44),1,"")</f>
        <v/>
      </c>
      <c r="Q44" s="18">
        <f>IF(AND(Q$4&gt;=$C44,Q$4&lt;=$D44),1,"")</f>
        <v/>
      </c>
      <c r="R44" s="18">
        <f>IF(AND(R$4&gt;=$C44,R$4&lt;=$D44),1,"")</f>
        <v/>
      </c>
      <c r="S44" s="18">
        <f>IF(AND(S$4&gt;=$C44,S$4&lt;=$D44),1,"")</f>
        <v/>
      </c>
    </row>
    <row r="45" spans="1:19">
      <c r="A45" s="15">
        <f>'개발일정표'!A46</f>
        <v>41</v>
      </c>
      <c r="B45" s="16" t="str">
        <f>'개발일정표'!C46</f>
        <v>최종 점검·제출</v>
      </c>
      <c r="C45" s="17">
        <f>'개발일정표'!F46</f>
        <v>46332</v>
      </c>
      <c r="D45" s="17">
        <f>'개발일정표'!G46</f>
        <v>46332</v>
      </c>
      <c r="E45" s="15" t="str">
        <f>'개발일정표'!J46</f>
        <v>예정</v>
      </c>
      <c r="F45" s="18">
        <f>IF(AND(F$4&gt;=$C45,F$4&lt;=$D45),1,"")</f>
        <v/>
      </c>
      <c r="G45" s="18">
        <f>IF(AND(G$4&gt;=$C45,G$4&lt;=$D45),1,"")</f>
        <v/>
      </c>
      <c r="H45" s="18">
        <f>IF(AND(H$4&gt;=$C45,H$4&lt;=$D45),1,"")</f>
        <v/>
      </c>
      <c r="I45" s="18">
        <f>IF(AND(I$4&gt;=$C45,I$4&lt;=$D45),1,"")</f>
        <v/>
      </c>
      <c r="J45" s="18">
        <f>IF(AND(J$4&gt;=$C45,J$4&lt;=$D45),1,"")</f>
        <v/>
      </c>
      <c r="K45" s="18">
        <f>IF(AND(K$4&gt;=$C45,K$4&lt;=$D45),1,"")</f>
        <v/>
      </c>
      <c r="L45" s="18">
        <f>IF(AND(L$4&gt;=$C45,L$4&lt;=$D45),1,"")</f>
        <v/>
      </c>
      <c r="M45" s="18">
        <f>IF(AND(M$4&gt;=$C45,M$4&lt;=$D45),1,"")</f>
        <v/>
      </c>
      <c r="N45" s="18">
        <f>IF(AND(N$4&gt;=$C45,N$4&lt;=$D45),1,"")</f>
        <v/>
      </c>
      <c r="O45" s="18">
        <f>IF(AND(O$4&gt;=$C45,O$4&lt;=$D45),1,"")</f>
        <v/>
      </c>
      <c r="P45" s="18">
        <f>IF(AND(P$4&gt;=$C45,P$4&lt;=$D45),1,"")</f>
        <v>1</v>
      </c>
      <c r="Q45" s="18">
        <f>IF(AND(Q$4&gt;=$C45,Q$4&lt;=$D45),1,"")</f>
        <v/>
      </c>
      <c r="R45" s="18">
        <f>IF(AND(R$4&gt;=$C45,R$4&lt;=$D45),1,"")</f>
        <v/>
      </c>
      <c r="S45" s="18">
        <f>IF(AND(S$4&gt;=$C45,S$4&lt;=$D45),1,"")</f>
        <v/>
      </c>
    </row>
  </sheetData>
  <mergeCells count="2">
    <mergeCell ref="A1:S1"/>
    <mergeCell ref="A2:S2"/>
  </mergeCells>
  <conditionalFormatting sqref="F5:S45">
    <cfRule type="expression" dxfId="3" priority="1">
      <formula>AND(F5=1,$E5="완료")</formula>
    </cfRule>
    <cfRule type="expression" dxfId="4" priority="2">
      <formula>AND(F5=1,$E5="진행 중")</formula>
    </cfRule>
    <cfRule type="expression" dxfId="5" priority="3">
      <formula>AND(F5=1,$E5="예정")</formula>
    </cfRule>
  </conditionalFormatting>
  <conditionalFormatting sqref="F4:S4">
    <cfRule type="expression" dxfId="6" priority="4">
      <formula>F$4=TODAY()</formula>
    </cfRule>
  </conditionalFormatting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showGridLines="0" workbookViewId="0"/>
  </sheetViews>
  <sheetFormatPr defaultRowHeight="15" x14ac:dyDescent="0.25"/>
  <cols>
    <col min="1" max="1" width="26.7109375" customWidth="1"/>
    <col min="2" max="5" width="14.7109375" customWidth="1"/>
    <col min="6" max="6" width="44.7109375" customWidth="1"/>
  </cols>
  <sheetData>
    <row r="1" spans="1:6" x14ac:dyDescent="0.25">
      <c r="A1" s="1" t="s">
        <v>143</v>
      </c>
      <c r="B1" s="1"/>
      <c r="C1" s="1"/>
      <c r="D1" s="1"/>
      <c r="E1" s="1"/>
      <c r="F1" s="1"/>
    </row>
    <row r="2" spans="1:6" x14ac:dyDescent="0.25">
      <c r="A2" s="2" t="s">
        <v>144</v>
      </c>
      <c r="B2" s="2"/>
      <c r="C2" s="2"/>
      <c r="D2" s="2"/>
      <c r="E2" s="2"/>
      <c r="F2" s="2"/>
    </row>
    <row r="3" spans="1:6" x14ac:dyDescent="0.25">
      <c r="A3" s="19" t="s">
        <v>145</v>
      </c>
    </row>
    <row r="4" spans="1:6" x14ac:dyDescent="0.25">
      <c r="A4" s="20" t="s">
        <v>146</v>
      </c>
      <c r="B4" s="9">
        <f>COUNTA('개발일정표'!$A$6:$A$46)</f>
        <v>41</v>
      </c>
    </row>
    <row r="5" spans="1:6" x14ac:dyDescent="0.25">
      <c r="A5" s="20" t="s">
        <v>147</v>
      </c>
      <c r="B5" s="9">
        <f>COUNTIF('개발일정표'!$J$6:$J$46,"완료")</f>
        <v>34</v>
      </c>
    </row>
    <row r="6" spans="1:6" x14ac:dyDescent="0.25">
      <c r="A6" s="20" t="s">
        <v>148</v>
      </c>
      <c r="B6" s="9">
        <f>COUNTIF('개발일정표'!$J$6:$J$46,"진행 중")</f>
        <v>2</v>
      </c>
    </row>
    <row r="7" spans="1:6" x14ac:dyDescent="0.25">
      <c r="A7" s="20" t="s">
        <v>149</v>
      </c>
      <c r="B7" s="9">
        <f>COUNTIF('개발일정표'!$J$6:$J$46,"예정")</f>
        <v>5</v>
      </c>
    </row>
    <row r="8" spans="1:6" x14ac:dyDescent="0.25">
      <c r="A8" s="20" t="s">
        <v>150</v>
      </c>
      <c r="B8" s="21">
        <f>B5/B4</f>
        <v>0.8292682926829268</v>
      </c>
    </row>
    <row r="9" spans="1:6" x14ac:dyDescent="0.25">
      <c r="A9" s="20" t="s">
        <v>151</v>
      </c>
      <c r="B9" s="21">
        <f>AVERAGE('개발일정표'!$I$6:$I$46)</f>
        <v>0.8585365853658538</v>
      </c>
    </row>
    <row r="10" spans="1:6" x14ac:dyDescent="0.25">
      <c r="A10" s="20" t="s">
        <v>8</v>
      </c>
      <c r="B10" s="22">
        <f>MIN('개발일정표'!$F$6:$F$46)</f>
        <v>46322</v>
      </c>
    </row>
    <row r="11" spans="1:6" x14ac:dyDescent="0.25">
      <c r="A11" s="20" t="s">
        <v>152</v>
      </c>
      <c r="B11" s="22">
        <f>MAX('개발일정표'!$G$6:$G$46)</f>
        <v>46332</v>
      </c>
    </row>
    <row r="12" spans="1:6" x14ac:dyDescent="0.25">
      <c r="A12" s="20" t="s">
        <v>153</v>
      </c>
      <c r="B12" s="9">
        <f>B11-B10+1</f>
        <v>11</v>
      </c>
    </row>
    <row r="14" spans="1:6" x14ac:dyDescent="0.25">
      <c r="A14" s="19" t="s">
        <v>154</v>
      </c>
    </row>
    <row r="15" spans="1:6" x14ac:dyDescent="0.25">
      <c r="A15" s="4" t="s">
        <v>4</v>
      </c>
      <c r="B15" s="4" t="s">
        <v>155</v>
      </c>
      <c r="C15" s="4" t="s">
        <v>147</v>
      </c>
      <c r="D15" s="4" t="s">
        <v>151</v>
      </c>
    </row>
    <row r="16" spans="1:6" x14ac:dyDescent="0.25">
      <c r="A16" s="20" t="s">
        <v>14</v>
      </c>
      <c r="B16" s="9">
        <f>COUNTIF('개발일정표'!$B$6:$B$46,A16)</f>
        <v>3</v>
      </c>
      <c r="C16" s="9">
        <f>COUNTIFS('개발일정표'!$B$6:$B$46,A16,'개발일정표'!$J$6:$J$46,"완료")</f>
        <v>3</v>
      </c>
      <c r="D16" s="21">
        <f>AVERAGEIF('개발일정표'!$B$6:$B$46,A16,'개발일정표'!$I$6:$I$46)</f>
        <v>1.0</v>
      </c>
    </row>
    <row r="17" spans="1:6" x14ac:dyDescent="0.25">
      <c r="A17" s="20" t="s">
        <v>25</v>
      </c>
      <c r="B17" s="9">
        <f>COUNTIF('개발일정표'!$B$6:$B$46,A17)</f>
        <v>2</v>
      </c>
      <c r="C17" s="9">
        <f>COUNTIFS('개발일정표'!$B$6:$B$46,A17,'개발일정표'!$J$6:$J$46,"완료")</f>
        <v>2</v>
      </c>
      <c r="D17" s="21">
        <f>AVERAGEIF('개발일정표'!$B$6:$B$46,A17,'개발일정표'!$I$6:$I$46)</f>
        <v>1.0</v>
      </c>
    </row>
    <row r="18" spans="1:6" x14ac:dyDescent="0.25">
      <c r="A18" s="20" t="s">
        <v>32</v>
      </c>
      <c r="B18" s="9">
        <f>COUNTIF('개발일정표'!$B$6:$B$46,A18)</f>
        <v>4</v>
      </c>
      <c r="C18" s="9">
        <f>COUNTIFS('개발일정표'!$B$6:$B$46,A18,'개발일정표'!$J$6:$J$46,"완료")</f>
        <v>4</v>
      </c>
      <c r="D18" s="21">
        <f>AVERAGEIF('개발일정표'!$B$6:$B$46,A18,'개발일정표'!$I$6:$I$46)</f>
        <v>1.0</v>
      </c>
    </row>
    <row r="19" spans="1:6" x14ac:dyDescent="0.25">
      <c r="A19" s="20" t="s">
        <v>45</v>
      </c>
      <c r="B19" s="9">
        <f>COUNTIF('개발일정표'!$B$6:$B$46,A19)</f>
        <v>3</v>
      </c>
      <c r="C19" s="9">
        <f>COUNTIFS('개발일정표'!$B$6:$B$46,A19,'개발일정표'!$J$6:$J$46,"완료")</f>
        <v>3</v>
      </c>
      <c r="D19" s="21">
        <f>AVERAGEIF('개발일정표'!$B$6:$B$46,A19,'개발일정표'!$I$6:$I$46)</f>
        <v>1.0</v>
      </c>
    </row>
    <row r="20" spans="1:6" x14ac:dyDescent="0.25">
      <c r="A20" s="20" t="s">
        <v>54</v>
      </c>
      <c r="B20" s="9">
        <f>COUNTIF('개발일정표'!$B$6:$B$46,A20)</f>
        <v>12</v>
      </c>
      <c r="C20" s="9">
        <f>COUNTIFS('개발일정표'!$B$6:$B$46,A20,'개발일정표'!$J$6:$J$46,"완료")</f>
        <v>12</v>
      </c>
      <c r="D20" s="21">
        <f>AVERAGEIF('개발일정표'!$B$6:$B$46,A20,'개발일정표'!$I$6:$I$46)</f>
        <v>1.0</v>
      </c>
    </row>
    <row r="21" spans="1:6" x14ac:dyDescent="0.25">
      <c r="A21" s="20" t="s">
        <v>91</v>
      </c>
      <c r="B21" s="9">
        <f>COUNTIF('개발일정표'!$B$6:$B$46,A21)</f>
        <v>4</v>
      </c>
      <c r="C21" s="9">
        <f>COUNTIFS('개발일정표'!$B$6:$B$46,A21,'개발일정표'!$J$6:$J$46,"완료")</f>
        <v>4</v>
      </c>
      <c r="D21" s="21">
        <f>AVERAGEIF('개발일정표'!$B$6:$B$46,A21,'개발일정표'!$I$6:$I$46)</f>
        <v>1.0</v>
      </c>
    </row>
    <row r="22" spans="1:6" x14ac:dyDescent="0.25">
      <c r="A22" s="20" t="s">
        <v>102</v>
      </c>
      <c r="B22" s="9">
        <f>COUNTIF('개발일정표'!$B$6:$B$46,A22)</f>
        <v>3</v>
      </c>
      <c r="C22" s="9">
        <f>COUNTIFS('개발일정표'!$B$6:$B$46,A22,'개발일정표'!$J$6:$J$46,"완료")</f>
        <v>3</v>
      </c>
      <c r="D22" s="21">
        <f>AVERAGEIF('개발일정표'!$B$6:$B$46,A22,'개발일정표'!$I$6:$I$46)</f>
        <v>1.0</v>
      </c>
    </row>
    <row r="23" spans="1:6" x14ac:dyDescent="0.25">
      <c r="A23" s="20" t="s">
        <v>109</v>
      </c>
      <c r="B23" s="9">
        <f>COUNTIF('개발일정표'!$B$6:$B$46,A23)</f>
        <v>5</v>
      </c>
      <c r="C23" s="9">
        <f>COUNTIFS('개발일정표'!$B$6:$B$46,A23,'개발일정표'!$J$6:$J$46,"완료")</f>
        <v>3</v>
      </c>
      <c r="D23" s="21">
        <f>AVERAGEIF('개발일정표'!$B$6:$B$46,A23,'개발일정표'!$I$6:$I$46)</f>
        <v>0.8400000000000001</v>
      </c>
    </row>
    <row r="24" spans="1:6" x14ac:dyDescent="0.25">
      <c r="A24" s="20" t="s">
        <v>123</v>
      </c>
      <c r="B24" s="9">
        <f>COUNTIF('개발일정표'!$B$6:$B$46,A24)</f>
        <v>5</v>
      </c>
      <c r="C24" s="9">
        <f>COUNTIFS('개발일정표'!$B$6:$B$46,A24,'개발일정표'!$J$6:$J$46,"완료")</f>
        <v>0</v>
      </c>
      <c r="D24" s="21">
        <f>AVERAGEIF('개발일정표'!$B$6:$B$46,A24,'개발일정표'!$I$6:$I$46)</f>
        <v>0.0</v>
      </c>
    </row>
    <row r="27" spans="1:6" x14ac:dyDescent="0.25">
      <c r="A27" s="19" t="s">
        <v>156</v>
      </c>
    </row>
    <row r="28" spans="1:6" x14ac:dyDescent="0.25">
      <c r="A28" s="4" t="s">
        <v>157</v>
      </c>
      <c r="B28" s="4" t="s">
        <v>156</v>
      </c>
      <c r="C28" s="4"/>
      <c r="D28" s="4"/>
      <c r="E28" s="4" t="s">
        <v>158</v>
      </c>
      <c r="F28" s="4"/>
    </row>
    <row r="29" spans="1:6" x14ac:dyDescent="0.25">
      <c r="A29" s="8">
        <v>46322</v>
      </c>
      <c r="B29" s="6" t="s">
        <v>159</v>
      </c>
      <c r="C29" s="6"/>
      <c r="D29" s="6"/>
      <c r="E29" s="6" t="s">
        <v>160</v>
      </c>
      <c r="F29" s="6"/>
    </row>
    <row r="30" spans="1:6" x14ac:dyDescent="0.25">
      <c r="A30" s="8">
        <v>46323</v>
      </c>
      <c r="B30" s="6" t="s">
        <v>161</v>
      </c>
      <c r="C30" s="6"/>
      <c r="D30" s="6"/>
      <c r="E30" s="6" t="s">
        <v>162</v>
      </c>
      <c r="F30" s="6"/>
    </row>
    <row r="31" spans="1:6" x14ac:dyDescent="0.25">
      <c r="A31" s="8">
        <v>46324</v>
      </c>
      <c r="B31" s="6" t="s">
        <v>163</v>
      </c>
      <c r="C31" s="6"/>
      <c r="D31" s="6"/>
      <c r="E31" s="6" t="s">
        <v>164</v>
      </c>
      <c r="F31" s="6"/>
    </row>
    <row r="32" spans="1:6" x14ac:dyDescent="0.25">
      <c r="A32" s="8">
        <v>46327</v>
      </c>
      <c r="B32" s="6" t="s">
        <v>165</v>
      </c>
      <c r="C32" s="6"/>
      <c r="D32" s="6"/>
      <c r="E32" s="6" t="s">
        <v>166</v>
      </c>
      <c r="F32" s="6"/>
    </row>
    <row r="33" spans="1:6" x14ac:dyDescent="0.25">
      <c r="A33" s="8">
        <v>46328</v>
      </c>
      <c r="B33" s="6" t="s">
        <v>167</v>
      </c>
      <c r="C33" s="6"/>
      <c r="D33" s="6"/>
      <c r="E33" s="6" t="s">
        <v>168</v>
      </c>
      <c r="F33" s="6"/>
    </row>
    <row r="34" spans="1:6" x14ac:dyDescent="0.25">
      <c r="A34" s="8">
        <v>46332</v>
      </c>
      <c r="B34" s="6" t="s">
        <v>169</v>
      </c>
      <c r="C34" s="6"/>
      <c r="D34" s="6"/>
      <c r="E34" s="6" t="s">
        <v>170</v>
      </c>
      <c r="F34" s="6"/>
    </row>
    <row r="36" spans="1:6" x14ac:dyDescent="0.25">
      <c r="A36" s="13" t="s">
        <v>171</v>
      </c>
    </row>
  </sheetData>
  <mergeCells count="16">
    <mergeCell ref="A1:F1"/>
    <mergeCell ref="A2:F2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</mergeCells>
  <conditionalFormatting sqref="D16:D24">
    <cfRule type="dataBar" priority="1">
      <dataBar>
        <cfvo type="num" val="0"/>
        <cfvo type="num" val="1"/>
        <color rgb="FF9CC3EE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9CC3EE"/>
              <x14:negativeFillColor rgb="FFFF0000"/>
              <x14:negativeBorderColor rgb="FFFF0000"/>
              <x14:axisColor rgb="FF000000"/>
            </x14:dataBar>
          </x14:cfRule>
          <xm:sqref>D16:D24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/>
  </sheetViews>
  <sheetFormatPr defaultRowHeight="15"/>
  <cols>
    <col min="1" max="1" width="14.7109375" customWidth="1"/>
    <col min="2" max="2" width="10.7109375" customWidth="1"/>
    <col min="3" max="3" width="70.7109375" customWidth="1"/>
  </cols>
  <sheetData>
    <row r="1" spans="1:3">
      <c r="A1" s="1" t="s">
        <v>172</v>
      </c>
      <c r="B1" s="1"/>
      <c r="C1" s="1"/>
    </row>
    <row r="2" spans="1:3">
      <c r="A2" s="2" t="s">
        <v>173</v>
      </c>
      <c r="B2" s="2"/>
      <c r="C2" s="2"/>
    </row>
    <row r="4" spans="1:3">
      <c r="A4" s="4" t="s">
        <v>157</v>
      </c>
      <c r="B4" s="4" t="s">
        <v>174</v>
      </c>
      <c r="C4" s="4" t="s">
        <v>175</v>
      </c>
    </row>
    <row r="5" spans="1:3">
      <c r="A5" s="8">
        <v>46322</v>
      </c>
      <c r="B5" s="7">
        <v>3</v>
      </c>
      <c r="C5" s="6" t="s">
        <v>176</v>
      </c>
    </row>
    <row r="6" spans="1:3">
      <c r="A6" s="8">
        <v>46323</v>
      </c>
      <c r="B6" s="7">
        <v>5</v>
      </c>
      <c r="C6" s="6" t="s">
        <v>177</v>
      </c>
    </row>
    <row r="7" spans="1:3">
      <c r="A7" s="8">
        <v>46324</v>
      </c>
      <c r="B7" s="7">
        <v>26</v>
      </c>
      <c r="C7" s="6" t="s">
        <v>178</v>
      </c>
    </row>
    <row r="8" spans="1:3">
      <c r="A8" s="8">
        <v>46325</v>
      </c>
      <c r="B8" s="7">
        <v>4</v>
      </c>
      <c r="C8" s="6" t="s">
        <v>103</v>
      </c>
    </row>
    <row r="9" spans="1:3">
      <c r="A9" s="8">
        <v>46327</v>
      </c>
      <c r="B9" s="7">
        <v>21</v>
      </c>
      <c r="C9" s="6" t="s">
        <v>179</v>
      </c>
    </row>
    <row r="10" spans="1:3">
      <c r="A10" s="8">
        <v>46328</v>
      </c>
      <c r="B10" s="7">
        <v>1</v>
      </c>
      <c r="C10" s="6" t="s">
        <v>180</v>
      </c>
    </row>
    <row r="11" spans="1:3">
      <c r="A11" s="20" t="s">
        <v>181</v>
      </c>
      <c r="B11" s="11">
        <f>SUM(B5:B10)</f>
        <v>60</v>
      </c>
      <c r="C11" s="23" t="s">
        <v>182</v>
      </c>
    </row>
  </sheetData>
  <mergeCells count="2">
    <mergeCell ref="A1:C1"/>
    <mergeCell ref="A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개발일정표</vt:lpstr>
      <vt:lpstr>간트차트</vt:lpstr>
      <vt:lpstr>요약</vt:lpstr>
      <vt:lpstr>일별 커밋</vt:lpstr>
      <vt:lpstr>개발일정표!Print_Titles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사내톡 개발일정표</dc:title>
  <dc:creator>다같이채팅</dc:creator>
  <dc:description>git 커밋 이력 기준으로 작성</dc:description>
  <cp:lastModifiedBy>다같이채팅</cp:lastModifiedBy>
  <dcterms:created xsi:type="dcterms:W3CDTF">2026-11-02T00:58:14Z</dcterms:created>
  <dcterms:modified xsi:type="dcterms:W3CDTF">2026-11-02T00:58:14Z</dcterms:modified>
</cp:coreProperties>
</file>